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johnson/VA_IBD/llm_paper_tables_figures_sources_2025_04_22/resubmission_2025_06/excels/"/>
    </mc:Choice>
  </mc:AlternateContent>
  <xr:revisionPtr revIDLastSave="0" documentId="13_ncr:1_{1C576671-18F0-AE43-9923-35992125DDF6}" xr6:coauthVersionLast="47" xr6:coauthVersionMax="47" xr10:uidLastSave="{00000000-0000-0000-0000-000000000000}"/>
  <bookViews>
    <workbookView xWindow="34580" yWindow="-12020" windowWidth="56660" windowHeight="32180" xr2:uid="{F56BE3E1-0619-404B-B86C-2545B10EBE62}"/>
  </bookViews>
  <sheets>
    <sheet name="all_results_bootstrapped10k" sheetId="1" r:id="rId1"/>
    <sheet name="table1_gemma_ibd" sheetId="8" r:id="rId2"/>
    <sheet name="table2_nonIBD_gemma" sheetId="2" r:id="rId3"/>
    <sheet name="table3_full_ibd_mvp_gemma" sheetId="9" r:id="rId4"/>
    <sheet name="S1_regexMatch" sheetId="3" r:id="rId5"/>
    <sheet name="S2_running_time" sheetId="4" r:id="rId6"/>
    <sheet name="S3_llama3" sheetId="10" r:id="rId7"/>
    <sheet name="S4_small_IBD_MVP" sheetId="11" r:id="rId8"/>
    <sheet name="S5_both_either" sheetId="12" r:id="rId9"/>
    <sheet name="S6_fullPath_validation" sheetId="5" r:id="rId10"/>
    <sheet name="S7_otherMethods" sheetId="6" r:id="rId11"/>
    <sheet name="S8_unfiltered" sheetId="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/>
  <c r="K3" i="4"/>
  <c r="L3" i="4"/>
  <c r="K4" i="4"/>
  <c r="L4" i="4"/>
  <c r="K5" i="4"/>
  <c r="L5" i="4"/>
  <c r="K7" i="4"/>
  <c r="L7" i="4"/>
  <c r="K8" i="4"/>
  <c r="L8" i="4"/>
  <c r="K10" i="4"/>
  <c r="L10" i="4"/>
  <c r="K11" i="4"/>
  <c r="L11" i="4"/>
  <c r="K13" i="4"/>
  <c r="L13" i="4"/>
  <c r="K14" i="4"/>
  <c r="L14" i="4"/>
  <c r="K17" i="4"/>
</calcChain>
</file>

<file path=xl/sharedStrings.xml><?xml version="1.0" encoding="utf-8"?>
<sst xmlns="http://schemas.openxmlformats.org/spreadsheetml/2006/main" count="3840" uniqueCount="376">
  <si>
    <t>task</t>
  </si>
  <si>
    <t>cohort</t>
  </si>
  <si>
    <t>source</t>
  </si>
  <si>
    <t>model</t>
  </si>
  <si>
    <t>model_prevalence_numerator</t>
  </si>
  <si>
    <t>model_prevalence_denominator</t>
  </si>
  <si>
    <t>model_prevalence_estimate</t>
  </si>
  <si>
    <t>f1</t>
  </si>
  <si>
    <t>f1_lb_boot</t>
  </si>
  <si>
    <t>f1_ub_boot</t>
  </si>
  <si>
    <t>ppv</t>
  </si>
  <si>
    <t>ppv_lb_boot</t>
  </si>
  <si>
    <t>ppv_ub_boot</t>
  </si>
  <si>
    <t>npv</t>
  </si>
  <si>
    <t>npv_lb_boot</t>
  </si>
  <si>
    <t>npv_ub_boot</t>
  </si>
  <si>
    <t>recall</t>
  </si>
  <si>
    <t>recall_lb_boot</t>
  </si>
  <si>
    <t>recall_ub_boot</t>
  </si>
  <si>
    <t>specificity</t>
  </si>
  <si>
    <t>specificity_lb_boot</t>
  </si>
  <si>
    <t>specificity_ub_boot</t>
  </si>
  <si>
    <t>w</t>
  </si>
  <si>
    <t>w_lb_boot</t>
  </si>
  <si>
    <t>w_ub_boot</t>
  </si>
  <si>
    <t>mcc</t>
  </si>
  <si>
    <t>mcc_lb_boot</t>
  </si>
  <si>
    <t>mcc_ub_boot</t>
  </si>
  <si>
    <t>calibrated_f1</t>
  </si>
  <si>
    <t>calibrated_f1_lb_boot</t>
  </si>
  <si>
    <t>calibrated_f1_ub_boot</t>
  </si>
  <si>
    <t>calibrated_precision</t>
  </si>
  <si>
    <t>calibrated_precision_lb_boot</t>
  </si>
  <si>
    <t>calibrated_precision_ub_boot</t>
  </si>
  <si>
    <t>N_val</t>
  </si>
  <si>
    <t>N_valPos</t>
  </si>
  <si>
    <t>N_valNeg</t>
  </si>
  <si>
    <t>N_modelPos_valPos_llamaPos</t>
  </si>
  <si>
    <t>N_modelPos_valPos_llamaNeg</t>
  </si>
  <si>
    <t>N_modelPos_valNeg_llamaPos</t>
  </si>
  <si>
    <t>N_modelPos_valNeg_llamaNeg</t>
  </si>
  <si>
    <t>N_modelNeg_valPos_llamaPos</t>
  </si>
  <si>
    <t>N_modelNeg_valPos_llamaNeg</t>
  </si>
  <si>
    <t>N_modelNeg_valNeg_llamaPos</t>
  </si>
  <si>
    <t>N_modelNeg_valNeg_llamaNeg</t>
  </si>
  <si>
    <t>BDJ_pos_AD_pos</t>
  </si>
  <si>
    <t>BDJ_pos_AD_neg</t>
  </si>
  <si>
    <t>BDJ_neg_AD_pos</t>
  </si>
  <si>
    <t>BDJ_neg_AD_neg</t>
  </si>
  <si>
    <t>cohensKappa</t>
  </si>
  <si>
    <t>cohensKappa_lb_boot</t>
  </si>
  <si>
    <t>cohensKappa_ub_boot</t>
  </si>
  <si>
    <t>median_nChar</t>
  </si>
  <si>
    <t>mean_nChar</t>
  </si>
  <si>
    <t>N_modelPos</t>
  </si>
  <si>
    <t>N_modelNeg</t>
  </si>
  <si>
    <t>ppv_lowerBound_analytical</t>
  </si>
  <si>
    <t>ppv_upperBound_analytical</t>
  </si>
  <si>
    <t>npv_lowerBound_analytical</t>
  </si>
  <si>
    <t>npv_upperBound_analytical</t>
  </si>
  <si>
    <t>ppv_lowerBound</t>
  </si>
  <si>
    <t>npv_lowerBound</t>
  </si>
  <si>
    <t>ppv_upperBound</t>
  </si>
  <si>
    <t>npv_upperBound</t>
  </si>
  <si>
    <t>hidden_sort</t>
  </si>
  <si>
    <t>Task</t>
  </si>
  <si>
    <t>Cohort</t>
  </si>
  <si>
    <t>Source</t>
  </si>
  <si>
    <t>Model</t>
  </si>
  <si>
    <t>Input</t>
  </si>
  <si>
    <t>Model prevalence estimate</t>
  </si>
  <si>
    <t>PPV (LB - UB)</t>
  </si>
  <si>
    <t>NPV (LB - UB)</t>
  </si>
  <si>
    <t>PPVc</t>
  </si>
  <si>
    <t>Recall (Sensitivity)</t>
  </si>
  <si>
    <t>Specificity</t>
  </si>
  <si>
    <t>F1</t>
  </si>
  <si>
    <t>F1c</t>
  </si>
  <si>
    <t>MCC</t>
  </si>
  <si>
    <t>Cohen's kappa</t>
  </si>
  <si>
    <t>invasive crc</t>
  </si>
  <si>
    <t>ibd</t>
  </si>
  <si>
    <t>MVP</t>
  </si>
  <si>
    <t>gemma2_9B_SPPO</t>
  </si>
  <si>
    <t>CRC</t>
  </si>
  <si>
    <t>IBD</t>
  </si>
  <si>
    <t>Microscopic exam</t>
  </si>
  <si>
    <t>0.962 (0.92 - 0.99)</t>
  </si>
  <si>
    <t>1.000 (0.98 - 1.00)</t>
  </si>
  <si>
    <t>llama3_8B</t>
  </si>
  <si>
    <t>0.947 (0.90 - 0.98)</t>
  </si>
  <si>
    <t>0.987 (0.95 - 1.00)</t>
  </si>
  <si>
    <t>llama3.2_3B</t>
  </si>
  <si>
    <t>NA</t>
  </si>
  <si>
    <t>0.939 (0.88 - 0.98)</t>
  </si>
  <si>
    <t>0.945 (0.90 - 0.97)</t>
  </si>
  <si>
    <t>gemma2_2B</t>
  </si>
  <si>
    <t>0.936 (0.88 - 0.98)</t>
  </si>
  <si>
    <t>0.959 (0.92 - 0.98)</t>
  </si>
  <si>
    <t>llama3_8B_full</t>
  </si>
  <si>
    <t>Full pathology report</t>
  </si>
  <si>
    <t>0.910 (0.84 - 0.97)</t>
  </si>
  <si>
    <t>0.971 (0.93 - 0.99)</t>
  </si>
  <si>
    <t>gemma2_9B_SPPO_full</t>
  </si>
  <si>
    <t>0.822 (0.73 - 0.91)</t>
  </si>
  <si>
    <t>0.994 (0.95 - 1.00)</t>
  </si>
  <si>
    <t>either</t>
  </si>
  <si>
    <t>0.943 (0.90 - 0.98)</t>
  </si>
  <si>
    <t>both</t>
  </si>
  <si>
    <t>0.966 (0.92 - 0.99)</t>
  </si>
  <si>
    <t>0.987 (0.96 - 1.00)</t>
  </si>
  <si>
    <t>either_small</t>
  </si>
  <si>
    <t>0.921 (0.86 - 0.97)</t>
  </si>
  <si>
    <t>0.978 (0.95 - 1.00)</t>
  </si>
  <si>
    <t>both_small</t>
  </si>
  <si>
    <t>0.958 (0.91 - 0.99)</t>
  </si>
  <si>
    <t>0.928 (0.88 - 0.96)</t>
  </si>
  <si>
    <t>either_full</t>
  </si>
  <si>
    <t>0.822 (0.73 - 0.92)</t>
  </si>
  <si>
    <t>both_full</t>
  </si>
  <si>
    <t>BDJ</t>
  </si>
  <si>
    <t>0.967 (0.92 - 1.00)</t>
  </si>
  <si>
    <t>0.996 (0.96 - 1.00)</t>
  </si>
  <si>
    <t>AD</t>
  </si>
  <si>
    <t>0.865 (0.79 - 0.94)</t>
  </si>
  <si>
    <t>0.998 (0.98 - 1.00)</t>
  </si>
  <si>
    <t>non-ibd</t>
  </si>
  <si>
    <t>non-IBD</t>
  </si>
  <si>
    <t>0.982 (0.94 - 1.00)</t>
  </si>
  <si>
    <t>0.908 (0.85 - 0.95)</t>
  </si>
  <si>
    <t>0.980 (0.94 - 1.00)</t>
  </si>
  <si>
    <t>0.887 (0.82 - 0.93)</t>
  </si>
  <si>
    <t>0.973 (0.94 - 0.99)</t>
  </si>
  <si>
    <t>0.923 (0.87 - 0.96)</t>
  </si>
  <si>
    <t>0.986 (0.95 - 1.00)</t>
  </si>
  <si>
    <t>0.873 (0.81 - 0.92)</t>
  </si>
  <si>
    <t>0.945 (0.89 - 0.98)</t>
  </si>
  <si>
    <t>0.983 (0.95 - 1.00)</t>
  </si>
  <si>
    <t>0.993 (0.96 - 1.00)</t>
  </si>
  <si>
    <t>indefinite dysplasia</t>
  </si>
  <si>
    <t>IND</t>
  </si>
  <si>
    <t>0.752 (0.57 - 0.93)</t>
  </si>
  <si>
    <t>0.800 (0.73 - 0.86)</t>
  </si>
  <si>
    <t>0.902 (0.84 - 0.95)</t>
  </si>
  <si>
    <t>0.992 (0.97 - 1.00)</t>
  </si>
  <si>
    <t>0.902 (0.83 - 0.95)</t>
  </si>
  <si>
    <t>0.903 (0.83 - 0.96)</t>
  </si>
  <si>
    <t>0.991 (0.96 - 1.00)</t>
  </si>
  <si>
    <t>0.636 (0.39 - 0.91)</t>
  </si>
  <si>
    <t>0.992 (0.96 - 1.00)</t>
  </si>
  <si>
    <t>0.688 (0.47 - 0.90)</t>
  </si>
  <si>
    <t>0.868 (0.80 - 0.92)</t>
  </si>
  <si>
    <t>0.993 (0.97 - 1.00)</t>
  </si>
  <si>
    <t>0.892 (0.83 - 0.94)</t>
  </si>
  <si>
    <t>0.913 (0.85 - 0.96)</t>
  </si>
  <si>
    <t>0.628 (0.39 - 0.90)</t>
  </si>
  <si>
    <t>0.921 (0.85 - 0.97)</t>
  </si>
  <si>
    <t>0.988 (0.95 - 1.00)</t>
  </si>
  <si>
    <t>hgd or crc</t>
  </si>
  <si>
    <t>HGD/CRC</t>
  </si>
  <si>
    <t>0.977 (0.94 - 1.00)</t>
  </si>
  <si>
    <t>0.979 (0.94 - 1.00)</t>
  </si>
  <si>
    <t>0.927 (0.87 - 0.97)</t>
  </si>
  <si>
    <t>0.976 (0.93 - 1.00)</t>
  </si>
  <si>
    <t>0.994 (0.97 - 1.00)</t>
  </si>
  <si>
    <t>0.990 (0.96 - 1.00)</t>
  </si>
  <si>
    <t>any dysplasia</t>
  </si>
  <si>
    <t>Dysplasia</t>
  </si>
  <si>
    <t>0.973 (0.93 - 0.99)</t>
  </si>
  <si>
    <t>0.985 (0.95 - 1.00)</t>
  </si>
  <si>
    <t>0.938 (0.83 - 1.00)</t>
  </si>
  <si>
    <t>0.945 (0.84 - 1.00)</t>
  </si>
  <si>
    <t>0.921 (0.84 - 0.99)</t>
  </si>
  <si>
    <t>0.967 (0.92 - 0.99)</t>
  </si>
  <si>
    <t>0.866 (0.76 - 0.97)</t>
  </si>
  <si>
    <t>0.955 (0.91 - 0.98)</t>
  </si>
  <si>
    <t>0.828 (0.72 - 0.94)</t>
  </si>
  <si>
    <t>0.923 (0.82 - 0.99)</t>
  </si>
  <si>
    <t>0.961 (0.92 - 0.99)</t>
  </si>
  <si>
    <t>0.792 (0.67 - 0.92)</t>
  </si>
  <si>
    <t>0.991 (0.95 - 1.00)</t>
  </si>
  <si>
    <t>0.912 (0.83 - 0.98)</t>
  </si>
  <si>
    <t>0.964 (0.93 - 0.99)</t>
  </si>
  <si>
    <t>0.804 (0.70 - 0.92)</t>
  </si>
  <si>
    <t>0.901 (0.80 - 0.99)</t>
  </si>
  <si>
    <t>0.950 (0.91 - 0.98)</t>
  </si>
  <si>
    <t>0.990 (0.95 - 1.00)</t>
  </si>
  <si>
    <t>0.968 (0.90 - 1.00)</t>
  </si>
  <si>
    <t>0.999 (0.98 - 1.00)</t>
  </si>
  <si>
    <t>0.957 (0.92 - 0.99)</t>
  </si>
  <si>
    <t>0.953 (0.89 - 1.00)</t>
  </si>
  <si>
    <t>0.898 (0.85 - 0.94)</t>
  </si>
  <si>
    <t>0.918 (0.85 - 0.98)</t>
  </si>
  <si>
    <t>0.960 (0.92 - 0.99)</t>
  </si>
  <si>
    <t>0.986 (0.94 - 1.00)</t>
  </si>
  <si>
    <t>0.967 (0.91 - 1.00)</t>
  </si>
  <si>
    <t>0.992 (0.95 - 1.00)</t>
  </si>
  <si>
    <t>0.947 (0.90 - 0.99)</t>
  </si>
  <si>
    <t>0.902 (0.83 - 0.97)</t>
  </si>
  <si>
    <t>0.966 (0.93 - 0.99)</t>
  </si>
  <si>
    <t>0.980 (0.93 - 1.00)</t>
  </si>
  <si>
    <t>0.893 (0.84 - 0.93)</t>
  </si>
  <si>
    <t>0.959 (0.90 - 1.00)</t>
  </si>
  <si>
    <t>1.000 (0.97 - 1.00)</t>
  </si>
  <si>
    <t>0.968 (0.92 - 1.00)</t>
  </si>
  <si>
    <t>0.980 (0.95 - 1.00)</t>
  </si>
  <si>
    <t>CDW</t>
  </si>
  <si>
    <t>0.941 (0.82 - 1.00)</t>
  </si>
  <si>
    <t>0.950 (0.89 - 0.99)</t>
  </si>
  <si>
    <t>0.960 (0.90 - 0.99)</t>
  </si>
  <si>
    <t>0.913 (0.79 - 0.98)</t>
  </si>
  <si>
    <t>0.990 (0.94 - 1.00)</t>
  </si>
  <si>
    <t>0.979 (0.93 - 1.00)</t>
  </si>
  <si>
    <t>1.000 (0.96 - 1.00)</t>
  </si>
  <si>
    <t>0.916 (0.84 - 0.99)</t>
  </si>
  <si>
    <t>0.848 (0.76 - 0.98)</t>
  </si>
  <si>
    <t>0.968 (0.92 - 0.99)</t>
  </si>
  <si>
    <t>0.945 (0.88 - 0.99)</t>
  </si>
  <si>
    <t>0.964 (0.90 - 1.00)</t>
  </si>
  <si>
    <t>0.936 (0.86 - 0.99)</t>
  </si>
  <si>
    <t>0.982 (0.93 - 1.00)</t>
  </si>
  <si>
    <t>0.526 (0.42 - 0.82)</t>
  </si>
  <si>
    <t>0.999 (0.97 - 1.00)</t>
  </si>
  <si>
    <t>0.730 (0.63 - 0.81)</t>
  </si>
  <si>
    <t>0.472 (0.37 - 0.80)</t>
  </si>
  <si>
    <t>0.753 (0.65 - 0.84)</t>
  </si>
  <si>
    <t>0.824 (0.73 - 0.90)</t>
  </si>
  <si>
    <t>0.637 (0.34 - 1.00)</t>
  </si>
  <si>
    <t>0.966 (0.90 - 1.00)</t>
  </si>
  <si>
    <t>0.970 (0.91 - 1.00)</t>
  </si>
  <si>
    <t>0.964 (0.89 - 1.00)</t>
  </si>
  <si>
    <t>0.984 (0.93 - 1.00)</t>
  </si>
  <si>
    <t>0.994 (0.94 - 1.00)</t>
  </si>
  <si>
    <t>0.971 (0.92 - 1.00)</t>
  </si>
  <si>
    <t>0.951 (0.88 - 0.99)</t>
  </si>
  <si>
    <t>0.940 (0.87 - 0.98)</t>
  </si>
  <si>
    <t>0.956 (0.89 - 0.99)</t>
  </si>
  <si>
    <t>0.915 (0.84 - 0.97)</t>
  </si>
  <si>
    <t>0.957 (0.90 - 0.99)</t>
  </si>
  <si>
    <t>0.989 (0.95 - 1.00)</t>
  </si>
  <si>
    <t>invasive crc unfiltered</t>
  </si>
  <si>
    <t>CRC (unfiltered)</t>
  </si>
  <si>
    <t>0.955 (0.91 - 0.99)</t>
  </si>
  <si>
    <t>0.954 (0.91 - 0.99)</t>
  </si>
  <si>
    <t>0.977 (0.93 - 1.00)</t>
  </si>
  <si>
    <t>0.229 (0.14 - 0.33)</t>
  </si>
  <si>
    <t>0.167 (0.07 - 0.29)</t>
  </si>
  <si>
    <t>Non-IBD</t>
  </si>
  <si>
    <t>CDW Path Domain</t>
  </si>
  <si>
    <t>Non-IBD-Dysplasia</t>
  </si>
  <si>
    <t>Non-IBD-HGD/CRC</t>
  </si>
  <si>
    <t>Non-IBD-CRC</t>
  </si>
  <si>
    <t>IBD-Dysplasia</t>
  </si>
  <si>
    <t>IBD-HGD/CRC</t>
  </si>
  <si>
    <t>IBD-CRC</t>
  </si>
  <si>
    <t>All colonoscopy path reports</t>
  </si>
  <si>
    <t>All Non-IBD (matching colon specimen terms)</t>
  </si>
  <si>
    <t>All IBD (matching colon specimen terms)</t>
  </si>
  <si>
    <t>All</t>
  </si>
  <si>
    <t>All Colonoscopy-related (matching colon specimen terms)</t>
  </si>
  <si>
    <t>All path reports</t>
  </si>
  <si>
    <t>All CDW pathology reports</t>
  </si>
  <si>
    <t>N/A</t>
  </si>
  <si>
    <t>CDW patients in non-IBD cphort</t>
  </si>
  <si>
    <t>CDW patients in IBD cohort</t>
  </si>
  <si>
    <t>All CDW patients</t>
  </si>
  <si>
    <t>MVP Path Domain</t>
  </si>
  <si>
    <t>All Partitioned (matching colon specimen terms)</t>
  </si>
  <si>
    <t>All MVP pathology reports</t>
  </si>
  <si>
    <t>MVP patients in non-IBD cphort</t>
  </si>
  <si>
    <t>MVP patients in IBD cohort</t>
  </si>
  <si>
    <t>All MVP patients</t>
  </si>
  <si>
    <t>N distinct patients</t>
  </si>
  <si>
    <t>N distinct path reports</t>
  </si>
  <si>
    <t>Report filters</t>
  </si>
  <si>
    <t>Overview</t>
  </si>
  <si>
    <t>All features</t>
  </si>
  <si>
    <t>General population</t>
  </si>
  <si>
    <t>Benson et al. (2023) "Leveraging…"</t>
  </si>
  <si>
    <t>Published rule-based approaches</t>
  </si>
  <si>
    <t>gemma-2-9B</t>
  </si>
  <si>
    <t>GPU</t>
  </si>
  <si>
    <t>IBD-colitis</t>
  </si>
  <si>
    <t>This work (LLMs)</t>
  </si>
  <si>
    <t>llama-3-8B</t>
  </si>
  <si>
    <t>gemma-2-2B</t>
  </si>
  <si>
    <t>CPU</t>
  </si>
  <si>
    <t>llama-3.2-3B</t>
  </si>
  <si>
    <t>No IBD-colitis</t>
  </si>
  <si>
    <t>Time per input char (NOT TOKEN)</t>
  </si>
  <si>
    <t>Time per note (seconds)</t>
  </si>
  <si>
    <t>Total time (seconds)</t>
  </si>
  <si>
    <t>Mean number of characters per input</t>
  </si>
  <si>
    <t>Number of reports</t>
  </si>
  <si>
    <t>Input type</t>
  </si>
  <si>
    <t>Compute</t>
  </si>
  <si>
    <t>Data Source</t>
  </si>
  <si>
    <t>Method</t>
  </si>
  <si>
    <t>Task (all MVP)</t>
  </si>
  <si>
    <t>LLMs run with full note and Microscopic Exam separately</t>
  </si>
  <si>
    <t>Either LLM disagrees with itself seeing full note compared to seeing Microscopic Exam</t>
  </si>
  <si>
    <t>Validation using full note disagrees with initial validation using Microscopic Exam</t>
  </si>
  <si>
    <t>hgd and/or crc</t>
  </si>
  <si>
    <t>indefinite for dysplasia</t>
  </si>
  <si>
    <t>Study</t>
  </si>
  <si>
    <t>Approach</t>
  </si>
  <si>
    <t>Number validated</t>
  </si>
  <si>
    <t>Number of model positives validated</t>
  </si>
  <si>
    <t>Number of model negatives validated</t>
  </si>
  <si>
    <t>Notes</t>
  </si>
  <si>
    <t>This work (gemma-2)</t>
  </si>
  <si>
    <t>LLM + rules-based</t>
  </si>
  <si>
    <t>No IBD-colitis in VA (CDW)</t>
  </si>
  <si>
    <t>No IBD-colitis in VA (MVP)</t>
  </si>
  <si>
    <t>This work (llama-3)</t>
  </si>
  <si>
    <t>Bae (2022)</t>
  </si>
  <si>
    <t>Rules-based</t>
  </si>
  <si>
    <t>Conventional adenoma</t>
  </si>
  <si>
    <t>general population in South Korea</t>
  </si>
  <si>
    <t>Benson (2023)</t>
  </si>
  <si>
    <t>"across all features"</t>
  </si>
  <si>
    <t xml:space="preserve">general population in U.S. </t>
  </si>
  <si>
    <t>F1-score not reported for identifying adenoma.</t>
  </si>
  <si>
    <t>Carrell (2017)</t>
  </si>
  <si>
    <t>Any adenoma</t>
  </si>
  <si>
    <t>general population in U.S. (40+, outpatient)</t>
  </si>
  <si>
    <t>Fevrier (2020)</t>
  </si>
  <si>
    <t>Adenoma</t>
  </si>
  <si>
    <t>general population in U.S. (50+)</t>
  </si>
  <si>
    <t>F1-score not reported. Calculated based on PPV and recall reported.</t>
  </si>
  <si>
    <t>Gupta (2023)</t>
  </si>
  <si>
    <t>non-IBD in VA</t>
  </si>
  <si>
    <t>F1-score not reported. Perfect NPV and PPV.</t>
  </si>
  <si>
    <t>Harkema (2011)</t>
  </si>
  <si>
    <t>"adenomatous"</t>
  </si>
  <si>
    <t>Imler (2013)</t>
  </si>
  <si>
    <t>Tubular adenoma</t>
  </si>
  <si>
    <t>non-IBD in VA (40+)</t>
  </si>
  <si>
    <t>500 total annotated. 150 used for training, 350 as true test set. F1-score reported for "most advanced lesion". Calculated based on precision and recall reported for tubular adenoma.</t>
  </si>
  <si>
    <t>Nayor (2018)</t>
  </si>
  <si>
    <t>Raju (2015)</t>
  </si>
  <si>
    <t>non-IBD in U.S. (50-75, first screening colonoscopy)</t>
  </si>
  <si>
    <t>F1-score calculated based on confusion matrix given in table 3.</t>
  </si>
  <si>
    <t>Syed (2022)</t>
  </si>
  <si>
    <t>Deep-learning</t>
  </si>
  <si>
    <t>"neoplastic polyps"</t>
  </si>
  <si>
    <t>"advanced adenoma"</t>
  </si>
  <si>
    <t>"Advanced adenomas were defined as adenomas ≥1 cm in size or with pathological features such as high-grade dysplasia or villous features."</t>
  </si>
  <si>
    <t>Adenoma with HGD</t>
  </si>
  <si>
    <t>F1-score calculated from given PPV and NPV assuming an "adenoma with HGD" prevalence of 3.9% from same study</t>
  </si>
  <si>
    <t>Carcinoma in situ</t>
  </si>
  <si>
    <t>F1-score calculated from given PPV and NPV assuming an estimated prevalence of 3.9% (prevalence of adenoma with HGD). Likely overestimate of prevalence and F1-score.</t>
  </si>
  <si>
    <t>"bad pathology"</t>
  </si>
  <si>
    <t>"Whether any adenoma has villous component, high-grade dysplasia, or pathology shows invasive cancer"</t>
  </si>
  <si>
    <t>F1-score calculated based on precision and recall given. "Advanced adenomas were defined as those with villous features, carcinoma in situ, high-grade dysplasia, or adenoma with size on colonoscopy report ≤10 mm with size determined by the endoscopist."</t>
  </si>
  <si>
    <t>Adenocarcinoma</t>
  </si>
  <si>
    <t>F1-score calculated from given PPV and NPV assuming an estimated prevalence of 5%. Likely overestimate of prevalence and F1-score.</t>
  </si>
  <si>
    <t>Carcinoma</t>
  </si>
  <si>
    <t>10 (estimated)</t>
  </si>
  <si>
    <t>Assuming 10 positive cases validated based on low prevalence and exactly 90.0% reported PPV. F1-score calculated based on precision and recall reported</t>
  </si>
  <si>
    <t>Malignant carcinoma</t>
  </si>
  <si>
    <t>0.954 (0.91 - 0.98)</t>
  </si>
  <si>
    <t>conditionalModel</t>
  </si>
  <si>
    <t>N_modelPos_valPos_conditionalPos</t>
  </si>
  <si>
    <t>N_modelPos_valPos_conditionalNeg</t>
  </si>
  <si>
    <t>N_modelPos_valNeg_conditionalPos</t>
  </si>
  <si>
    <t>N_modelPos_valNeg_conditionalNeg</t>
  </si>
  <si>
    <t>N_modelNeg_valPos_conditionalPos</t>
  </si>
  <si>
    <t>N_modelNeg_valPos_conditionalNeg</t>
  </si>
  <si>
    <t>N_modelNeg_valNeg_conditionalPos</t>
  </si>
  <si>
    <t>N_modelNeg_valNeg_conditionalNeg</t>
  </si>
  <si>
    <t>0.910 (0.83 - 0.97)</t>
  </si>
  <si>
    <t>0.651 (0.39 - 0.99)</t>
  </si>
  <si>
    <t>0.927 (0.87 - 0.96)</t>
  </si>
  <si>
    <t>0.472 (0.37 - 0.79)</t>
  </si>
  <si>
    <t>0.745 (0.59 - 0.93)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</si>
</sst>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201F1E"/>
      <name val="Arial"/>
      <family val="2"/>
    </font>
    <font>
      <sz val="11"/>
      <color rgb="FF000000"/>
      <name val="Arial"/>
      <family val="2"/>
    </font>
    <font>
      <sz val="12"/>
      <color rgb="FF000000"/>
      <name val="Aptos Narrow"/>
      <family val="2"/>
    </font>
    <font>
      <sz val="12"/>
      <color rgb="FF9C0006"/>
      <name val="Arial"/>
      <family val="2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8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18" fillId="33" borderId="10" xfId="0" applyFont="1" applyFill="1" applyBorder="1"/>
    <xf numFmtId="164" fontId="18" fillId="33" borderId="10" xfId="0" applyNumberFormat="1" applyFont="1" applyFill="1" applyBorder="1" applyAlignment="1">
      <alignment horizontal="right"/>
    </xf>
    <xf numFmtId="0" fontId="18" fillId="33" borderId="10" xfId="0" applyFont="1" applyFill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0" fontId="18" fillId="0" borderId="10" xfId="0" applyFont="1" applyBorder="1"/>
    <xf numFmtId="0" fontId="18" fillId="0" borderId="10" xfId="0" applyFont="1" applyBorder="1" applyAlignment="1">
      <alignment horizontal="right"/>
    </xf>
    <xf numFmtId="0" fontId="0" fillId="0" borderId="0" xfId="0" applyAlignment="1">
      <alignment wrapText="1"/>
    </xf>
    <xf numFmtId="0" fontId="20" fillId="34" borderId="10" xfId="0" applyFont="1" applyFill="1" applyBorder="1"/>
    <xf numFmtId="0" fontId="20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horizontal="right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10" xfId="0" applyFont="1" applyBorder="1"/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horizontal="right" wrapText="1"/>
    </xf>
    <xf numFmtId="0" fontId="20" fillId="0" borderId="11" xfId="0" applyFont="1" applyBorder="1" applyAlignment="1">
      <alignment horizontal="right" wrapText="1"/>
    </xf>
    <xf numFmtId="0" fontId="20" fillId="0" borderId="11" xfId="0" applyFont="1" applyBorder="1" applyAlignment="1">
      <alignment wrapText="1"/>
    </xf>
    <xf numFmtId="0" fontId="21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wrapText="1"/>
    </xf>
    <xf numFmtId="0" fontId="22" fillId="0" borderId="10" xfId="0" applyFont="1" applyBorder="1"/>
    <xf numFmtId="165" fontId="18" fillId="0" borderId="10" xfId="0" applyNumberFormat="1" applyFont="1" applyBorder="1" applyAlignment="1">
      <alignment horizontal="right"/>
    </xf>
    <xf numFmtId="0" fontId="19" fillId="0" borderId="10" xfId="0" applyFont="1" applyBorder="1"/>
    <xf numFmtId="166" fontId="18" fillId="0" borderId="10" xfId="0" applyNumberFormat="1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wrapText="1"/>
    </xf>
    <xf numFmtId="0" fontId="21" fillId="0" borderId="24" xfId="0" applyFont="1" applyBorder="1" applyAlignment="1">
      <alignment horizontal="right" wrapText="1"/>
    </xf>
    <xf numFmtId="0" fontId="20" fillId="0" borderId="25" xfId="0" applyFont="1" applyBorder="1"/>
    <xf numFmtId="0" fontId="20" fillId="0" borderId="26" xfId="0" applyFont="1" applyBorder="1"/>
    <xf numFmtId="0" fontId="20" fillId="0" borderId="26" xfId="0" applyFont="1" applyBorder="1" applyAlignment="1">
      <alignment wrapText="1"/>
    </xf>
    <xf numFmtId="0" fontId="20" fillId="0" borderId="26" xfId="0" applyFont="1" applyBorder="1" applyAlignment="1">
      <alignment horizontal="right"/>
    </xf>
    <xf numFmtId="164" fontId="18" fillId="0" borderId="11" xfId="0" applyNumberFormat="1" applyFont="1" applyBorder="1" applyAlignment="1">
      <alignment horizontal="right"/>
    </xf>
    <xf numFmtId="0" fontId="23" fillId="0" borderId="27" xfId="0" applyFont="1" applyBorder="1" applyAlignment="1">
      <alignment wrapText="1"/>
    </xf>
    <xf numFmtId="0" fontId="20" fillId="0" borderId="28" xfId="0" applyFont="1" applyBorder="1"/>
    <xf numFmtId="0" fontId="20" fillId="0" borderId="29" xfId="0" applyFont="1" applyBorder="1"/>
    <xf numFmtId="0" fontId="20" fillId="0" borderId="29" xfId="0" applyFont="1" applyBorder="1" applyAlignment="1">
      <alignment wrapText="1"/>
    </xf>
    <xf numFmtId="0" fontId="20" fillId="0" borderId="29" xfId="0" applyFont="1" applyBorder="1" applyAlignment="1">
      <alignment horizontal="right"/>
    </xf>
    <xf numFmtId="164" fontId="18" fillId="0" borderId="30" xfId="0" applyNumberFormat="1" applyFont="1" applyBorder="1" applyAlignment="1">
      <alignment horizontal="right"/>
    </xf>
    <xf numFmtId="0" fontId="23" fillId="0" borderId="31" xfId="0" applyFont="1" applyBorder="1" applyAlignment="1">
      <alignment wrapText="1"/>
    </xf>
    <xf numFmtId="0" fontId="18" fillId="0" borderId="11" xfId="0" applyFont="1" applyBorder="1" applyAlignment="1">
      <alignment horizontal="right"/>
    </xf>
    <xf numFmtId="0" fontId="23" fillId="0" borderId="27" xfId="0" applyFont="1" applyBorder="1" applyAlignment="1">
      <alignment vertical="top" wrapText="1"/>
    </xf>
    <xf numFmtId="0" fontId="20" fillId="0" borderId="32" xfId="0" applyFont="1" applyBorder="1"/>
    <xf numFmtId="0" fontId="20" fillId="0" borderId="33" xfId="0" applyFont="1" applyBorder="1"/>
    <xf numFmtId="0" fontId="20" fillId="0" borderId="33" xfId="0" applyFont="1" applyBorder="1" applyAlignment="1">
      <alignment wrapText="1"/>
    </xf>
    <xf numFmtId="0" fontId="20" fillId="0" borderId="33" xfId="0" applyFont="1" applyBorder="1" applyAlignment="1">
      <alignment horizontal="right"/>
    </xf>
    <xf numFmtId="0" fontId="18" fillId="0" borderId="30" xfId="0" applyFont="1" applyBorder="1" applyAlignment="1">
      <alignment horizontal="right"/>
    </xf>
    <xf numFmtId="0" fontId="23" fillId="0" borderId="34" xfId="0" applyFont="1" applyBorder="1" applyAlignment="1">
      <alignment wrapText="1"/>
    </xf>
    <xf numFmtId="0" fontId="20" fillId="0" borderId="35" xfId="0" applyFont="1" applyBorder="1"/>
    <xf numFmtId="0" fontId="20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3" fillId="0" borderId="0" xfId="0" applyFont="1" applyAlignment="1">
      <alignment wrapText="1"/>
    </xf>
    <xf numFmtId="0" fontId="20" fillId="0" borderId="36" xfId="0" applyFont="1" applyBorder="1"/>
    <xf numFmtId="0" fontId="20" fillId="0" borderId="37" xfId="0" applyFont="1" applyBorder="1"/>
    <xf numFmtId="0" fontId="20" fillId="0" borderId="11" xfId="0" applyFont="1" applyBorder="1"/>
    <xf numFmtId="0" fontId="20" fillId="0" borderId="37" xfId="0" applyFont="1" applyBorder="1" applyAlignment="1">
      <alignment wrapText="1"/>
    </xf>
    <xf numFmtId="0" fontId="20" fillId="0" borderId="37" xfId="0" applyFont="1" applyBorder="1" applyAlignment="1">
      <alignment horizontal="right"/>
    </xf>
    <xf numFmtId="164" fontId="18" fillId="0" borderId="38" xfId="0" applyNumberFormat="1" applyFont="1" applyBorder="1" applyAlignment="1">
      <alignment horizontal="right"/>
    </xf>
    <xf numFmtId="0" fontId="23" fillId="0" borderId="39" xfId="0" applyFont="1" applyBorder="1" applyAlignment="1">
      <alignment wrapText="1"/>
    </xf>
    <xf numFmtId="0" fontId="20" fillId="0" borderId="30" xfId="0" applyFont="1" applyBorder="1"/>
    <xf numFmtId="0" fontId="25" fillId="35" borderId="10" xfId="0" applyFont="1" applyFill="1" applyBorder="1" applyAlignment="1">
      <alignment horizontal="right"/>
    </xf>
    <xf numFmtId="0" fontId="25" fillId="35" borderId="30" xfId="0" applyFont="1" applyFill="1" applyBorder="1" applyAlignment="1">
      <alignment horizontal="right"/>
    </xf>
    <xf numFmtId="0" fontId="26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EC3F-2B2C-F54A-B4A9-69254CC2B71D}">
  <dimension ref="A1:CC121"/>
  <sheetViews>
    <sheetView tabSelected="1" workbookViewId="0">
      <selection activeCell="F82" sqref="F82"/>
    </sheetView>
  </sheetViews>
  <sheetFormatPr baseColWidth="10" defaultRowHeight="16" x14ac:dyDescent="0.2"/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362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363</v>
      </c>
      <c r="AN1" t="s">
        <v>364</v>
      </c>
      <c r="AO1" t="s">
        <v>365</v>
      </c>
      <c r="AP1" t="s">
        <v>366</v>
      </c>
      <c r="AQ1" t="s">
        <v>367</v>
      </c>
      <c r="AR1" t="s">
        <v>368</v>
      </c>
      <c r="AS1" t="s">
        <v>369</v>
      </c>
      <c r="AT1" t="s">
        <v>370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2">
      <c r="A2" t="s">
        <v>80</v>
      </c>
      <c r="B2" t="s">
        <v>81</v>
      </c>
      <c r="C2" t="s">
        <v>82</v>
      </c>
      <c r="D2" t="s">
        <v>83</v>
      </c>
      <c r="E2" t="s">
        <v>106</v>
      </c>
      <c r="F2">
        <v>156</v>
      </c>
      <c r="G2">
        <v>607</v>
      </c>
      <c r="H2">
        <v>0.25700164744645798</v>
      </c>
      <c r="I2">
        <v>0.98039215686274495</v>
      </c>
      <c r="J2">
        <v>0.96344965311706099</v>
      </c>
      <c r="K2">
        <v>0.99382716049382702</v>
      </c>
      <c r="L2">
        <v>0.96153846153846201</v>
      </c>
      <c r="M2">
        <v>0.92947695035460998</v>
      </c>
      <c r="N2">
        <v>0.98773006134969299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0.98687089715536103</v>
      </c>
      <c r="V2">
        <v>0.97618710490136096</v>
      </c>
      <c r="W2">
        <v>0.99577378936674599</v>
      </c>
      <c r="X2">
        <v>0.25700164744645798</v>
      </c>
      <c r="Y2">
        <v>0.25700164744645798</v>
      </c>
      <c r="Z2">
        <v>0.25700164744645798</v>
      </c>
      <c r="AA2">
        <v>0.97412233532952497</v>
      </c>
      <c r="AB2">
        <v>0.952545753617413</v>
      </c>
      <c r="AC2">
        <v>0.99174377036693895</v>
      </c>
      <c r="AD2">
        <v>0.99312956927684304</v>
      </c>
      <c r="AE2">
        <v>0.98704764729418304</v>
      </c>
      <c r="AF2">
        <v>0.997856171066555</v>
      </c>
      <c r="AG2">
        <v>0.98635290000874798</v>
      </c>
      <c r="AH2">
        <v>0.97442653147536396</v>
      </c>
      <c r="AI2">
        <v>0.99572151447417101</v>
      </c>
      <c r="AJ2">
        <v>307</v>
      </c>
      <c r="AK2">
        <v>150</v>
      </c>
      <c r="AL2">
        <v>157</v>
      </c>
      <c r="AM2">
        <v>150</v>
      </c>
      <c r="AN2">
        <v>0</v>
      </c>
      <c r="AO2">
        <v>6</v>
      </c>
      <c r="AP2">
        <v>0</v>
      </c>
      <c r="AQ2">
        <v>0</v>
      </c>
      <c r="AR2">
        <v>0</v>
      </c>
      <c r="AS2">
        <v>3</v>
      </c>
      <c r="AT2">
        <v>148</v>
      </c>
      <c r="AU2">
        <v>147</v>
      </c>
      <c r="AV2">
        <v>4</v>
      </c>
      <c r="AW2">
        <v>13</v>
      </c>
      <c r="AX2">
        <v>143</v>
      </c>
      <c r="AY2">
        <v>0.88932714125156398</v>
      </c>
      <c r="AZ2">
        <v>0.837086534085556</v>
      </c>
      <c r="BA2">
        <v>0.934877603835221</v>
      </c>
      <c r="BB2">
        <v>966</v>
      </c>
      <c r="BC2">
        <v>1208.1596091205199</v>
      </c>
      <c r="BD2">
        <v>156</v>
      </c>
      <c r="BE2">
        <v>151</v>
      </c>
      <c r="BF2">
        <v>0.918167683421513</v>
      </c>
      <c r="BG2">
        <v>0.98575665479000096</v>
      </c>
      <c r="BH2">
        <v>0.97586632380977401</v>
      </c>
      <c r="BI2">
        <v>1</v>
      </c>
      <c r="BJ2">
        <v>0.918167683421513</v>
      </c>
      <c r="BK2">
        <v>0.97586632380977401</v>
      </c>
      <c r="BL2">
        <v>0.98773006134969299</v>
      </c>
      <c r="BM2">
        <v>1</v>
      </c>
      <c r="BN2">
        <v>1</v>
      </c>
      <c r="BO2" t="s">
        <v>84</v>
      </c>
      <c r="BP2" t="s">
        <v>85</v>
      </c>
      <c r="BQ2" t="s">
        <v>82</v>
      </c>
      <c r="BR2" t="s">
        <v>83</v>
      </c>
      <c r="BS2" t="s">
        <v>86</v>
      </c>
      <c r="BT2">
        <v>0.25700000000000001</v>
      </c>
      <c r="BU2" t="s">
        <v>87</v>
      </c>
      <c r="BV2" t="s">
        <v>88</v>
      </c>
      <c r="BW2">
        <v>0.98599999999999999</v>
      </c>
      <c r="BX2">
        <v>1</v>
      </c>
      <c r="BY2">
        <v>0.98699999999999999</v>
      </c>
      <c r="BZ2">
        <v>0.98</v>
      </c>
      <c r="CA2">
        <v>0.99299999999999999</v>
      </c>
      <c r="CB2">
        <v>0.97399999999999998</v>
      </c>
      <c r="CC2">
        <v>0.88900000000000001</v>
      </c>
    </row>
    <row r="3" spans="1:81" x14ac:dyDescent="0.2">
      <c r="A3" t="s">
        <v>80</v>
      </c>
      <c r="B3" t="s">
        <v>81</v>
      </c>
      <c r="C3" t="s">
        <v>82</v>
      </c>
      <c r="D3" t="s">
        <v>89</v>
      </c>
      <c r="E3" t="s">
        <v>106</v>
      </c>
      <c r="F3">
        <v>152</v>
      </c>
      <c r="G3">
        <v>607</v>
      </c>
      <c r="H3">
        <v>0.25041186161449802</v>
      </c>
      <c r="I3">
        <v>0.95364238410596003</v>
      </c>
      <c r="J3">
        <v>0.93297285110120598</v>
      </c>
      <c r="K3">
        <v>0.97213958510554699</v>
      </c>
      <c r="L3">
        <v>0.94736842105263197</v>
      </c>
      <c r="M3">
        <v>0.90909090909090895</v>
      </c>
      <c r="N3">
        <v>0.97986577181208101</v>
      </c>
      <c r="O3">
        <v>0.98681318681318697</v>
      </c>
      <c r="P3">
        <v>0.984615384615385</v>
      </c>
      <c r="Q3">
        <v>0.992307692307692</v>
      </c>
      <c r="R3">
        <v>0.96</v>
      </c>
      <c r="S3">
        <v>0.95236514522821603</v>
      </c>
      <c r="T3">
        <v>0.976099734332465</v>
      </c>
      <c r="U3">
        <v>0.982494529540481</v>
      </c>
      <c r="V3">
        <v>0.97019169485708701</v>
      </c>
      <c r="W3">
        <v>0.99321509344125702</v>
      </c>
      <c r="X3">
        <v>0.25041186161449802</v>
      </c>
      <c r="Y3">
        <v>0.25041186161449802</v>
      </c>
      <c r="Z3">
        <v>0.25041186161449802</v>
      </c>
      <c r="AA3">
        <v>0.93832886293178996</v>
      </c>
      <c r="AB3">
        <v>0.91178722938716295</v>
      </c>
      <c r="AC3">
        <v>0.96283074622425602</v>
      </c>
      <c r="AD3">
        <v>0.97111726507766305</v>
      </c>
      <c r="AE3">
        <v>0.96237778186747203</v>
      </c>
      <c r="AF3">
        <v>0.980711597959808</v>
      </c>
      <c r="AG3">
        <v>0.98249503354158896</v>
      </c>
      <c r="AH3">
        <v>0.968970072048151</v>
      </c>
      <c r="AI3">
        <v>0.99342156287750505</v>
      </c>
      <c r="AJ3">
        <v>307</v>
      </c>
      <c r="AK3">
        <v>150</v>
      </c>
      <c r="AL3">
        <v>157</v>
      </c>
      <c r="AM3">
        <v>144</v>
      </c>
      <c r="AN3">
        <v>0</v>
      </c>
      <c r="AO3">
        <v>8</v>
      </c>
      <c r="AP3">
        <v>0</v>
      </c>
      <c r="AQ3">
        <v>6</v>
      </c>
      <c r="AR3">
        <v>0</v>
      </c>
      <c r="AS3">
        <v>1</v>
      </c>
      <c r="AT3">
        <v>148</v>
      </c>
      <c r="AU3">
        <v>147</v>
      </c>
      <c r="AV3">
        <v>4</v>
      </c>
      <c r="AW3">
        <v>13</v>
      </c>
      <c r="AX3">
        <v>143</v>
      </c>
      <c r="AY3">
        <v>0.88932714125156398</v>
      </c>
      <c r="AZ3">
        <v>0.83694151139815998</v>
      </c>
      <c r="BA3">
        <v>0.93486102270316196</v>
      </c>
      <c r="BB3">
        <v>966</v>
      </c>
      <c r="BC3">
        <v>1208.1596091205199</v>
      </c>
      <c r="BD3">
        <v>152</v>
      </c>
      <c r="BE3">
        <v>155</v>
      </c>
      <c r="BF3">
        <v>0.89893026289874101</v>
      </c>
      <c r="BG3">
        <v>0.97700651228527002</v>
      </c>
      <c r="BH3">
        <v>0.95416811039961602</v>
      </c>
      <c r="BI3">
        <v>0.99843352174177202</v>
      </c>
      <c r="BJ3">
        <v>0.89893026289874101</v>
      </c>
      <c r="BK3">
        <v>0.95416811039961602</v>
      </c>
      <c r="BL3">
        <v>0.97986577181208101</v>
      </c>
      <c r="BM3">
        <v>0.99843352174177202</v>
      </c>
      <c r="BN3">
        <v>1</v>
      </c>
      <c r="BO3" t="s">
        <v>84</v>
      </c>
      <c r="BP3" t="s">
        <v>85</v>
      </c>
      <c r="BQ3" t="s">
        <v>82</v>
      </c>
      <c r="BR3" t="s">
        <v>89</v>
      </c>
      <c r="BS3" t="s">
        <v>86</v>
      </c>
      <c r="BT3">
        <v>0.25</v>
      </c>
      <c r="BU3" t="s">
        <v>90</v>
      </c>
      <c r="BV3" t="s">
        <v>91</v>
      </c>
      <c r="BW3">
        <v>0.98199999999999998</v>
      </c>
      <c r="BX3">
        <v>0.96</v>
      </c>
      <c r="BY3">
        <v>0.98199999999999998</v>
      </c>
      <c r="BZ3">
        <v>0.95399999999999996</v>
      </c>
      <c r="CA3">
        <v>0.97099999999999997</v>
      </c>
      <c r="CB3">
        <v>0.93799999999999994</v>
      </c>
      <c r="CC3">
        <v>0.88900000000000001</v>
      </c>
    </row>
    <row r="4" spans="1:81" x14ac:dyDescent="0.2">
      <c r="A4" t="s">
        <v>80</v>
      </c>
      <c r="B4" t="s">
        <v>81</v>
      </c>
      <c r="C4" t="s">
        <v>82</v>
      </c>
      <c r="D4" t="s">
        <v>92</v>
      </c>
      <c r="E4" t="s">
        <v>106</v>
      </c>
      <c r="F4" t="s">
        <v>93</v>
      </c>
      <c r="G4" t="s">
        <v>93</v>
      </c>
      <c r="H4">
        <v>0.217507458034641</v>
      </c>
      <c r="I4">
        <v>0.87934834690943997</v>
      </c>
      <c r="J4">
        <v>0.83372885926894003</v>
      </c>
      <c r="K4">
        <v>0.91946308724832204</v>
      </c>
      <c r="L4">
        <v>0.93920163766632503</v>
      </c>
      <c r="M4">
        <v>0.88152937481068105</v>
      </c>
      <c r="N4">
        <v>0.98484848484848497</v>
      </c>
      <c r="O4">
        <v>0.94526004324570401</v>
      </c>
      <c r="P4">
        <v>0.92642807507631697</v>
      </c>
      <c r="Q4">
        <v>0.96285070975015496</v>
      </c>
      <c r="R4">
        <v>0.82666666666666699</v>
      </c>
      <c r="S4">
        <v>0.76315302144249497</v>
      </c>
      <c r="T4">
        <v>0.88406018027571598</v>
      </c>
      <c r="U4">
        <v>0.98243538943757802</v>
      </c>
      <c r="V4">
        <v>0.964662222329424</v>
      </c>
      <c r="W4">
        <v>0.99568286722780297</v>
      </c>
      <c r="X4">
        <v>0.217507458034641</v>
      </c>
      <c r="Y4">
        <v>0.19907601193188801</v>
      </c>
      <c r="Z4">
        <v>0.23660107946898201</v>
      </c>
      <c r="AA4">
        <v>0.84594312135706795</v>
      </c>
      <c r="AB4">
        <v>0.78924054080329697</v>
      </c>
      <c r="AC4">
        <v>0.89668219250595604</v>
      </c>
      <c r="AD4">
        <v>0.89905725264910397</v>
      </c>
      <c r="AE4">
        <v>0.86027037330938305</v>
      </c>
      <c r="AF4">
        <v>0.93247799130902898</v>
      </c>
      <c r="AG4">
        <v>0.98534300798153895</v>
      </c>
      <c r="AH4">
        <v>0.96784168841707796</v>
      </c>
      <c r="AI4">
        <v>0.99662106819068697</v>
      </c>
      <c r="AJ4">
        <v>307</v>
      </c>
      <c r="AK4">
        <v>150</v>
      </c>
      <c r="AL4">
        <v>157</v>
      </c>
      <c r="AM4">
        <v>124</v>
      </c>
      <c r="AN4">
        <v>0</v>
      </c>
      <c r="AO4">
        <v>5</v>
      </c>
      <c r="AP4">
        <v>1</v>
      </c>
      <c r="AQ4">
        <v>26</v>
      </c>
      <c r="AR4">
        <v>0</v>
      </c>
      <c r="AS4">
        <v>4</v>
      </c>
      <c r="AT4">
        <v>147</v>
      </c>
      <c r="AU4">
        <v>147</v>
      </c>
      <c r="AV4">
        <v>4</v>
      </c>
      <c r="AW4">
        <v>13</v>
      </c>
      <c r="AX4">
        <v>143</v>
      </c>
      <c r="AY4">
        <v>0.88932714125156398</v>
      </c>
      <c r="AZ4">
        <v>0.83665642614793501</v>
      </c>
      <c r="BA4">
        <v>0.93487207772921999</v>
      </c>
      <c r="BB4">
        <v>966</v>
      </c>
      <c r="BC4">
        <v>1208.1596091205199</v>
      </c>
      <c r="BD4">
        <v>130</v>
      </c>
      <c r="BE4">
        <v>177</v>
      </c>
      <c r="BF4">
        <v>0.88234476658615002</v>
      </c>
      <c r="BG4">
        <v>0.97306030387407105</v>
      </c>
      <c r="BH4">
        <v>0.898555799921257</v>
      </c>
      <c r="BI4">
        <v>0.97257810738795603</v>
      </c>
      <c r="BJ4">
        <v>0.88152937481068105</v>
      </c>
      <c r="BK4">
        <v>0.898555799921257</v>
      </c>
      <c r="BL4">
        <v>0.98484848484848497</v>
      </c>
      <c r="BM4">
        <v>0.97257810738795603</v>
      </c>
      <c r="BN4">
        <v>1</v>
      </c>
      <c r="BO4" t="s">
        <v>84</v>
      </c>
      <c r="BP4" t="s">
        <v>85</v>
      </c>
      <c r="BQ4" t="s">
        <v>82</v>
      </c>
      <c r="BR4" t="s">
        <v>92</v>
      </c>
      <c r="BS4" t="s">
        <v>86</v>
      </c>
      <c r="BT4">
        <v>0.218</v>
      </c>
      <c r="BU4" t="s">
        <v>94</v>
      </c>
      <c r="BV4" t="s">
        <v>95</v>
      </c>
      <c r="BW4">
        <v>0.98499999999999999</v>
      </c>
      <c r="BX4">
        <v>0.82699999999999996</v>
      </c>
      <c r="BY4">
        <v>0.98199999999999998</v>
      </c>
      <c r="BZ4">
        <v>0.879</v>
      </c>
      <c r="CA4">
        <v>0.89900000000000002</v>
      </c>
      <c r="CB4">
        <v>0.84599999999999997</v>
      </c>
      <c r="CC4">
        <v>0.88900000000000001</v>
      </c>
    </row>
    <row r="5" spans="1:81" x14ac:dyDescent="0.2">
      <c r="A5" t="s">
        <v>80</v>
      </c>
      <c r="B5" t="s">
        <v>81</v>
      </c>
      <c r="C5" t="s">
        <v>82</v>
      </c>
      <c r="D5" t="s">
        <v>96</v>
      </c>
      <c r="E5" t="s">
        <v>106</v>
      </c>
      <c r="F5" t="s">
        <v>93</v>
      </c>
      <c r="G5" t="s">
        <v>93</v>
      </c>
      <c r="H5">
        <v>0.230687029698562</v>
      </c>
      <c r="I5">
        <v>0.90336408536017199</v>
      </c>
      <c r="J5">
        <v>0.86213931913202801</v>
      </c>
      <c r="K5">
        <v>0.93877637844837603</v>
      </c>
      <c r="L5">
        <v>0.93553368075661103</v>
      </c>
      <c r="M5">
        <v>0.87999881485354303</v>
      </c>
      <c r="N5">
        <v>0.97945205479452102</v>
      </c>
      <c r="O5">
        <v>0.95931242041902998</v>
      </c>
      <c r="P5">
        <v>0.94196487065148704</v>
      </c>
      <c r="Q5">
        <v>0.97524373570211698</v>
      </c>
      <c r="R5">
        <v>0.87333333333333396</v>
      </c>
      <c r="S5">
        <v>0.81756633458275796</v>
      </c>
      <c r="T5">
        <v>0.92405281536447004</v>
      </c>
      <c r="U5">
        <v>0.98024720563013801</v>
      </c>
      <c r="V5">
        <v>0.96168881488038205</v>
      </c>
      <c r="W5">
        <v>0.99378031068404504</v>
      </c>
      <c r="X5">
        <v>0.230687029698562</v>
      </c>
      <c r="Y5">
        <v>0.21364142939765601</v>
      </c>
      <c r="Z5">
        <v>0.247997238118879</v>
      </c>
      <c r="AA5">
        <v>0.87396980344338204</v>
      </c>
      <c r="AB5">
        <v>0.82115018308894705</v>
      </c>
      <c r="AC5">
        <v>0.92006746913020199</v>
      </c>
      <c r="AD5">
        <v>0.92460585302225495</v>
      </c>
      <c r="AE5">
        <v>0.89233189441359195</v>
      </c>
      <c r="AF5">
        <v>0.95232953167174805</v>
      </c>
      <c r="AG5">
        <v>0.98227418000819799</v>
      </c>
      <c r="AH5">
        <v>0.96352475012663297</v>
      </c>
      <c r="AI5">
        <v>0.99481615714234195</v>
      </c>
      <c r="AJ5">
        <v>307</v>
      </c>
      <c r="AK5">
        <v>150</v>
      </c>
      <c r="AL5">
        <v>157</v>
      </c>
      <c r="AM5">
        <v>131</v>
      </c>
      <c r="AN5">
        <v>0</v>
      </c>
      <c r="AO5">
        <v>6</v>
      </c>
      <c r="AP5">
        <v>1</v>
      </c>
      <c r="AQ5">
        <v>19</v>
      </c>
      <c r="AR5">
        <v>0</v>
      </c>
      <c r="AS5">
        <v>3</v>
      </c>
      <c r="AT5">
        <v>147</v>
      </c>
      <c r="AU5">
        <v>147</v>
      </c>
      <c r="AV5">
        <v>4</v>
      </c>
      <c r="AW5">
        <v>13</v>
      </c>
      <c r="AX5">
        <v>143</v>
      </c>
      <c r="AY5">
        <v>0.88932714125156398</v>
      </c>
      <c r="AZ5">
        <v>0.83658025824919902</v>
      </c>
      <c r="BA5">
        <v>0.934877603835221</v>
      </c>
      <c r="BB5">
        <v>966</v>
      </c>
      <c r="BC5">
        <v>1208.1596091205199</v>
      </c>
      <c r="BD5">
        <v>138</v>
      </c>
      <c r="BE5">
        <v>169</v>
      </c>
      <c r="BF5">
        <v>0.87980784439277804</v>
      </c>
      <c r="BG5">
        <v>0.96974726668795697</v>
      </c>
      <c r="BH5">
        <v>0.91652327262991096</v>
      </c>
      <c r="BI5">
        <v>0.98318728015162704</v>
      </c>
      <c r="BJ5">
        <v>0.87980784439277804</v>
      </c>
      <c r="BK5">
        <v>0.91652327262991096</v>
      </c>
      <c r="BL5">
        <v>0.97945205479452102</v>
      </c>
      <c r="BM5">
        <v>0.98318728015162704</v>
      </c>
      <c r="BN5">
        <v>1</v>
      </c>
      <c r="BO5" t="s">
        <v>84</v>
      </c>
      <c r="BP5" t="s">
        <v>85</v>
      </c>
      <c r="BQ5" t="s">
        <v>82</v>
      </c>
      <c r="BR5" t="s">
        <v>96</v>
      </c>
      <c r="BS5" t="s">
        <v>86</v>
      </c>
      <c r="BT5">
        <v>0.23100000000000001</v>
      </c>
      <c r="BU5" t="s">
        <v>97</v>
      </c>
      <c r="BV5" t="s">
        <v>98</v>
      </c>
      <c r="BW5">
        <v>0.98199999999999998</v>
      </c>
      <c r="BX5">
        <v>0.873</v>
      </c>
      <c r="BY5">
        <v>0.98</v>
      </c>
      <c r="BZ5">
        <v>0.90300000000000002</v>
      </c>
      <c r="CA5">
        <v>0.92500000000000004</v>
      </c>
      <c r="CB5">
        <v>0.874</v>
      </c>
      <c r="CC5">
        <v>0.88900000000000001</v>
      </c>
    </row>
    <row r="6" spans="1:81" x14ac:dyDescent="0.2">
      <c r="A6" t="s">
        <v>80</v>
      </c>
      <c r="B6" t="s">
        <v>81</v>
      </c>
      <c r="C6" t="s">
        <v>82</v>
      </c>
      <c r="D6" t="s">
        <v>99</v>
      </c>
      <c r="E6" t="s">
        <v>106</v>
      </c>
      <c r="F6" t="s">
        <v>93</v>
      </c>
      <c r="G6" t="s">
        <v>93</v>
      </c>
      <c r="H6">
        <v>0.24509368968664599</v>
      </c>
      <c r="I6">
        <v>0.91063276198969201</v>
      </c>
      <c r="J6">
        <v>0.86161352166816396</v>
      </c>
      <c r="K6">
        <v>0.95112011418028397</v>
      </c>
      <c r="L6">
        <v>0.909762764733134</v>
      </c>
      <c r="M6">
        <v>0.83496100111627003</v>
      </c>
      <c r="N6">
        <v>0.97058823529411797</v>
      </c>
      <c r="O6">
        <v>0.97132324491418898</v>
      </c>
      <c r="P6">
        <v>0.95360144271023894</v>
      </c>
      <c r="Q6">
        <v>0.98715016615747597</v>
      </c>
      <c r="R6">
        <v>0.91150442477876104</v>
      </c>
      <c r="S6">
        <v>0.854700854700855</v>
      </c>
      <c r="T6">
        <v>0.96117438386855902</v>
      </c>
      <c r="U6">
        <v>0.97072104855055696</v>
      </c>
      <c r="V6">
        <v>0.94416804547696798</v>
      </c>
      <c r="W6">
        <v>0.99069449863441295</v>
      </c>
      <c r="X6">
        <v>0.24509368968664599</v>
      </c>
      <c r="Y6">
        <v>0.227172661136301</v>
      </c>
      <c r="Z6">
        <v>0.26581626743193898</v>
      </c>
      <c r="AA6">
        <v>0.88165555740603696</v>
      </c>
      <c r="AB6">
        <v>0.81803118089218396</v>
      </c>
      <c r="AC6">
        <v>0.93536483053469599</v>
      </c>
      <c r="AD6">
        <v>0.94053886035048195</v>
      </c>
      <c r="AE6">
        <v>0.908570313829696</v>
      </c>
      <c r="AF6">
        <v>0.96752963300855999</v>
      </c>
      <c r="AG6">
        <v>0.97148383896452395</v>
      </c>
      <c r="AH6">
        <v>0.940973106402061</v>
      </c>
      <c r="AI6">
        <v>0.99144139438100798</v>
      </c>
      <c r="AJ6">
        <v>227</v>
      </c>
      <c r="AK6">
        <v>113</v>
      </c>
      <c r="AL6">
        <v>114</v>
      </c>
      <c r="AM6">
        <v>103</v>
      </c>
      <c r="AN6">
        <v>0</v>
      </c>
      <c r="AO6">
        <v>7</v>
      </c>
      <c r="AP6">
        <v>1</v>
      </c>
      <c r="AQ6">
        <v>10</v>
      </c>
      <c r="AR6">
        <v>0</v>
      </c>
      <c r="AS6">
        <v>1</v>
      </c>
      <c r="AT6">
        <v>105</v>
      </c>
      <c r="AU6">
        <v>111</v>
      </c>
      <c r="AV6">
        <v>2</v>
      </c>
      <c r="AW6">
        <v>12</v>
      </c>
      <c r="AX6">
        <v>102</v>
      </c>
      <c r="AY6">
        <v>0.87669744703965202</v>
      </c>
      <c r="AZ6">
        <v>0.80756559200212596</v>
      </c>
      <c r="BA6">
        <v>0.93787387105602704</v>
      </c>
      <c r="BB6">
        <v>5140</v>
      </c>
      <c r="BC6">
        <v>5623.2995594713702</v>
      </c>
      <c r="BD6">
        <v>111</v>
      </c>
      <c r="BE6">
        <v>116</v>
      </c>
      <c r="BF6">
        <v>0.84055759107196004</v>
      </c>
      <c r="BG6">
        <v>0.95594904997464902</v>
      </c>
      <c r="BH6">
        <v>0.92627869486423597</v>
      </c>
      <c r="BI6">
        <v>0.99463453165395799</v>
      </c>
      <c r="BJ6">
        <v>0.83496100111627003</v>
      </c>
      <c r="BK6">
        <v>0.92627869486423597</v>
      </c>
      <c r="BL6">
        <v>0.97058823529411797</v>
      </c>
      <c r="BM6">
        <v>0.99463453165395799</v>
      </c>
      <c r="BN6">
        <v>1</v>
      </c>
      <c r="BO6" t="s">
        <v>84</v>
      </c>
      <c r="BP6" t="s">
        <v>85</v>
      </c>
      <c r="BQ6" t="s">
        <v>82</v>
      </c>
      <c r="BR6" t="s">
        <v>99</v>
      </c>
      <c r="BS6" t="s">
        <v>100</v>
      </c>
      <c r="BT6">
        <v>0.245</v>
      </c>
      <c r="BU6" t="s">
        <v>371</v>
      </c>
      <c r="BV6" t="s">
        <v>102</v>
      </c>
      <c r="BW6">
        <v>0.97099999999999997</v>
      </c>
      <c r="BX6">
        <v>0.91200000000000003</v>
      </c>
      <c r="BY6">
        <v>0.97099999999999997</v>
      </c>
      <c r="BZ6">
        <v>0.91100000000000003</v>
      </c>
      <c r="CA6">
        <v>0.94099999999999995</v>
      </c>
      <c r="CB6">
        <v>0.88200000000000001</v>
      </c>
      <c r="CC6">
        <v>0.877</v>
      </c>
    </row>
    <row r="7" spans="1:81" x14ac:dyDescent="0.2">
      <c r="A7" t="s">
        <v>80</v>
      </c>
      <c r="B7" t="s">
        <v>81</v>
      </c>
      <c r="C7" t="s">
        <v>82</v>
      </c>
      <c r="D7" t="s">
        <v>103</v>
      </c>
      <c r="E7" t="s">
        <v>106</v>
      </c>
      <c r="F7" t="s">
        <v>93</v>
      </c>
      <c r="G7" t="s">
        <v>93</v>
      </c>
      <c r="H7">
        <v>0.292428297031539</v>
      </c>
      <c r="I7">
        <v>0.89486669753523396</v>
      </c>
      <c r="J7">
        <v>0.83698559375019599</v>
      </c>
      <c r="K7">
        <v>0.94870812349463496</v>
      </c>
      <c r="L7">
        <v>0.82172527722555699</v>
      </c>
      <c r="M7">
        <v>0.73074094547241897</v>
      </c>
      <c r="N7">
        <v>0.91540049137803803</v>
      </c>
      <c r="O7">
        <v>0.99388096972143802</v>
      </c>
      <c r="P7">
        <v>0.98438460346687096</v>
      </c>
      <c r="Q7">
        <v>1</v>
      </c>
      <c r="R7">
        <v>0.98230088495575296</v>
      </c>
      <c r="S7">
        <v>0.95454545454545503</v>
      </c>
      <c r="T7">
        <v>1</v>
      </c>
      <c r="U7">
        <v>0.93098447851342003</v>
      </c>
      <c r="V7">
        <v>0.88587141819475501</v>
      </c>
      <c r="W7">
        <v>0.96975434955819795</v>
      </c>
      <c r="X7">
        <v>0.292428297031539</v>
      </c>
      <c r="Y7">
        <v>0.26504518160680801</v>
      </c>
      <c r="Z7">
        <v>0.32543550290167</v>
      </c>
      <c r="AA7">
        <v>0.86306503097432596</v>
      </c>
      <c r="AB7">
        <v>0.79076878498761205</v>
      </c>
      <c r="AC7">
        <v>0.932132381183577</v>
      </c>
      <c r="AD7">
        <v>0.94962531239959302</v>
      </c>
      <c r="AE7">
        <v>0.91226041835874006</v>
      </c>
      <c r="AF7">
        <v>0.97777561237554</v>
      </c>
      <c r="AG7">
        <v>0.91905361729590096</v>
      </c>
      <c r="AH7">
        <v>0.85270704853771195</v>
      </c>
      <c r="AI7">
        <v>0.96768184824137504</v>
      </c>
      <c r="AJ7">
        <v>227</v>
      </c>
      <c r="AK7">
        <v>113</v>
      </c>
      <c r="AL7">
        <v>114</v>
      </c>
      <c r="AM7">
        <v>111</v>
      </c>
      <c r="AN7">
        <v>0</v>
      </c>
      <c r="AO7">
        <v>8</v>
      </c>
      <c r="AP7">
        <v>5</v>
      </c>
      <c r="AQ7">
        <v>2</v>
      </c>
      <c r="AR7">
        <v>0</v>
      </c>
      <c r="AS7">
        <v>0</v>
      </c>
      <c r="AT7">
        <v>101</v>
      </c>
      <c r="AU7">
        <v>111</v>
      </c>
      <c r="AV7">
        <v>2</v>
      </c>
      <c r="AW7">
        <v>12</v>
      </c>
      <c r="AX7">
        <v>102</v>
      </c>
      <c r="AY7">
        <v>0.87669744703965202</v>
      </c>
      <c r="AZ7">
        <v>0.81274195328737697</v>
      </c>
      <c r="BA7">
        <v>0.93787387105602704</v>
      </c>
      <c r="BB7">
        <v>5140</v>
      </c>
      <c r="BC7">
        <v>5623.2995594713702</v>
      </c>
      <c r="BD7">
        <v>124</v>
      </c>
      <c r="BE7">
        <v>103</v>
      </c>
      <c r="BF7">
        <v>0.74379886711741094</v>
      </c>
      <c r="BG7">
        <v>0.88534415606303396</v>
      </c>
      <c r="BH7">
        <v>0.94709171325979602</v>
      </c>
      <c r="BI7">
        <v>0.99975422624630605</v>
      </c>
      <c r="BJ7">
        <v>0.73074094547241897</v>
      </c>
      <c r="BK7">
        <v>0.94709171325979602</v>
      </c>
      <c r="BL7">
        <v>0.91540049137803803</v>
      </c>
      <c r="BM7">
        <v>1</v>
      </c>
      <c r="BN7">
        <v>1</v>
      </c>
      <c r="BO7" t="s">
        <v>84</v>
      </c>
      <c r="BP7" t="s">
        <v>85</v>
      </c>
      <c r="BQ7" t="s">
        <v>82</v>
      </c>
      <c r="BR7" t="s">
        <v>103</v>
      </c>
      <c r="BS7" t="s">
        <v>100</v>
      </c>
      <c r="BT7">
        <v>0.29199999999999998</v>
      </c>
      <c r="BU7" t="s">
        <v>118</v>
      </c>
      <c r="BV7" t="s">
        <v>105</v>
      </c>
      <c r="BW7">
        <v>0.91900000000000004</v>
      </c>
      <c r="BX7">
        <v>0.98199999999999998</v>
      </c>
      <c r="BY7">
        <v>0.93100000000000005</v>
      </c>
      <c r="BZ7">
        <v>0.89500000000000002</v>
      </c>
      <c r="CA7">
        <v>0.95</v>
      </c>
      <c r="CB7">
        <v>0.86299999999999999</v>
      </c>
      <c r="CC7">
        <v>0.877</v>
      </c>
    </row>
    <row r="8" spans="1:81" x14ac:dyDescent="0.2">
      <c r="A8" t="s">
        <v>80</v>
      </c>
      <c r="B8" t="s">
        <v>81</v>
      </c>
      <c r="C8" t="s">
        <v>82</v>
      </c>
      <c r="D8" t="s">
        <v>106</v>
      </c>
      <c r="E8" t="s">
        <v>106</v>
      </c>
      <c r="F8">
        <v>159</v>
      </c>
      <c r="G8">
        <v>607</v>
      </c>
      <c r="H8">
        <v>0.26194398682042802</v>
      </c>
      <c r="I8">
        <v>0.970873786407767</v>
      </c>
      <c r="J8">
        <v>0.94964028776978404</v>
      </c>
      <c r="K8">
        <v>0.98757763975155299</v>
      </c>
      <c r="L8">
        <v>0.94339622641509402</v>
      </c>
      <c r="M8">
        <v>0.90410958904109595</v>
      </c>
      <c r="N8">
        <v>0.97546012269938698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0.98030634573304198</v>
      </c>
      <c r="V8">
        <v>0.96708755951148795</v>
      </c>
      <c r="W8">
        <v>0.99136573445560705</v>
      </c>
      <c r="X8">
        <v>0.26194398682042802</v>
      </c>
      <c r="Y8">
        <v>0.26194398682042802</v>
      </c>
      <c r="Z8">
        <v>0.26194398682042802</v>
      </c>
      <c r="AA8">
        <v>0.96167422097887301</v>
      </c>
      <c r="AB8">
        <v>0.93506851941271596</v>
      </c>
      <c r="AC8">
        <v>0.98338077110142497</v>
      </c>
      <c r="AD8">
        <v>0.98946484970294002</v>
      </c>
      <c r="AE8">
        <v>0.98152666434297697</v>
      </c>
      <c r="AF8">
        <v>0.99555555555555597</v>
      </c>
      <c r="AG8">
        <v>0.97914936399003405</v>
      </c>
      <c r="AH8">
        <v>0.96372347707049999</v>
      </c>
      <c r="AI8">
        <v>0.99115044247787598</v>
      </c>
      <c r="AJ8">
        <v>307</v>
      </c>
      <c r="AK8">
        <v>150</v>
      </c>
      <c r="AL8">
        <v>157</v>
      </c>
      <c r="AM8">
        <v>150</v>
      </c>
      <c r="AN8">
        <v>0</v>
      </c>
      <c r="AO8">
        <v>9</v>
      </c>
      <c r="AP8">
        <v>0</v>
      </c>
      <c r="AQ8">
        <v>0</v>
      </c>
      <c r="AR8">
        <v>0</v>
      </c>
      <c r="AS8">
        <v>0</v>
      </c>
      <c r="AT8">
        <v>148</v>
      </c>
      <c r="AU8">
        <v>147</v>
      </c>
      <c r="AV8">
        <v>4</v>
      </c>
      <c r="AW8">
        <v>13</v>
      </c>
      <c r="AX8">
        <v>143</v>
      </c>
      <c r="AY8">
        <v>0.88932714125156398</v>
      </c>
      <c r="AZ8">
        <v>0.83617579884309201</v>
      </c>
      <c r="BA8">
        <v>0.93489141499830297</v>
      </c>
      <c r="BB8">
        <v>966</v>
      </c>
      <c r="BC8">
        <v>1208.1596091205199</v>
      </c>
      <c r="BD8">
        <v>159</v>
      </c>
      <c r="BE8">
        <v>148</v>
      </c>
      <c r="BF8">
        <v>0.89526986890387406</v>
      </c>
      <c r="BG8">
        <v>0.97379351381891399</v>
      </c>
      <c r="BH8">
        <v>0.97538319842101595</v>
      </c>
      <c r="BI8">
        <v>1</v>
      </c>
      <c r="BJ8">
        <v>0.89526986890387406</v>
      </c>
      <c r="BK8">
        <v>0.97538319842101595</v>
      </c>
      <c r="BL8">
        <v>0.97546012269938698</v>
      </c>
      <c r="BM8">
        <v>1</v>
      </c>
      <c r="BN8">
        <v>1</v>
      </c>
      <c r="BO8" t="s">
        <v>84</v>
      </c>
      <c r="BP8" t="s">
        <v>85</v>
      </c>
      <c r="BQ8" t="s">
        <v>82</v>
      </c>
      <c r="BR8" t="s">
        <v>106</v>
      </c>
      <c r="BS8" t="s">
        <v>86</v>
      </c>
      <c r="BT8">
        <v>0.26200000000000001</v>
      </c>
      <c r="BU8" t="s">
        <v>107</v>
      </c>
      <c r="BV8" t="s">
        <v>88</v>
      </c>
      <c r="BW8">
        <v>0.97899999999999998</v>
      </c>
      <c r="BX8">
        <v>1</v>
      </c>
      <c r="BY8">
        <v>0.98</v>
      </c>
      <c r="BZ8">
        <v>0.97099999999999997</v>
      </c>
      <c r="CA8">
        <v>0.98899999999999999</v>
      </c>
      <c r="CB8">
        <v>0.96199999999999997</v>
      </c>
      <c r="CC8">
        <v>0.88900000000000001</v>
      </c>
    </row>
    <row r="9" spans="1:81" x14ac:dyDescent="0.2">
      <c r="A9" t="s">
        <v>80</v>
      </c>
      <c r="B9" t="s">
        <v>81</v>
      </c>
      <c r="C9" t="s">
        <v>82</v>
      </c>
      <c r="D9" t="s">
        <v>108</v>
      </c>
      <c r="E9" t="s">
        <v>106</v>
      </c>
      <c r="F9">
        <v>149</v>
      </c>
      <c r="G9">
        <v>607</v>
      </c>
      <c r="H9">
        <v>0.24546952224052701</v>
      </c>
      <c r="I9">
        <v>0.96321070234113704</v>
      </c>
      <c r="J9">
        <v>0.94343298881397397</v>
      </c>
      <c r="K9">
        <v>0.98032481764711599</v>
      </c>
      <c r="L9">
        <v>0.96644295302013405</v>
      </c>
      <c r="M9">
        <v>0.934640522875817</v>
      </c>
      <c r="N9">
        <v>0.99310344827586206</v>
      </c>
      <c r="O9">
        <v>0.98689956331877704</v>
      </c>
      <c r="P9">
        <v>0.98034934497816595</v>
      </c>
      <c r="Q9">
        <v>0.99418668122270704</v>
      </c>
      <c r="R9">
        <v>0.96</v>
      </c>
      <c r="S9">
        <v>0.94078932908513202</v>
      </c>
      <c r="T9">
        <v>0.98191593575077696</v>
      </c>
      <c r="U9">
        <v>0.98905908096280104</v>
      </c>
      <c r="V9">
        <v>0.978901844015164</v>
      </c>
      <c r="W9">
        <v>0.99773355340481495</v>
      </c>
      <c r="X9">
        <v>0.24546952224052701</v>
      </c>
      <c r="Y9">
        <v>0.24546952224052701</v>
      </c>
      <c r="Z9">
        <v>0.24546952224052701</v>
      </c>
      <c r="AA9">
        <v>0.95119838750881602</v>
      </c>
      <c r="AB9">
        <v>0.92527736505936697</v>
      </c>
      <c r="AC9">
        <v>0.97396573304317602</v>
      </c>
      <c r="AD9">
        <v>0.97441625445455005</v>
      </c>
      <c r="AE9">
        <v>0.96260366369761696</v>
      </c>
      <c r="AF9">
        <v>0.98641451961223403</v>
      </c>
      <c r="AG9">
        <v>0.98927208582331305</v>
      </c>
      <c r="AH9">
        <v>0.97857541007487103</v>
      </c>
      <c r="AI9">
        <v>0.99782780215177203</v>
      </c>
      <c r="AJ9">
        <v>307</v>
      </c>
      <c r="AK9">
        <v>150</v>
      </c>
      <c r="AL9">
        <v>157</v>
      </c>
      <c r="AM9">
        <v>144</v>
      </c>
      <c r="AN9">
        <v>0</v>
      </c>
      <c r="AO9">
        <v>5</v>
      </c>
      <c r="AP9">
        <v>0</v>
      </c>
      <c r="AQ9">
        <v>6</v>
      </c>
      <c r="AR9">
        <v>0</v>
      </c>
      <c r="AS9">
        <v>4</v>
      </c>
      <c r="AT9">
        <v>148</v>
      </c>
      <c r="AU9">
        <v>147</v>
      </c>
      <c r="AV9">
        <v>4</v>
      </c>
      <c r="AW9">
        <v>13</v>
      </c>
      <c r="AX9">
        <v>143</v>
      </c>
      <c r="AY9">
        <v>0.88932714125156398</v>
      </c>
      <c r="AZ9">
        <v>0.83673269674148398</v>
      </c>
      <c r="BA9">
        <v>0.93488036653656903</v>
      </c>
      <c r="BB9">
        <v>966</v>
      </c>
      <c r="BC9">
        <v>1208.1596091205199</v>
      </c>
      <c r="BD9">
        <v>149</v>
      </c>
      <c r="BE9">
        <v>158</v>
      </c>
      <c r="BF9">
        <v>0.923428638625298</v>
      </c>
      <c r="BG9">
        <v>0.989015995029777</v>
      </c>
      <c r="BH9">
        <v>0.95502394524501499</v>
      </c>
      <c r="BI9">
        <v>0.99846333681367405</v>
      </c>
      <c r="BJ9">
        <v>0.923428638625298</v>
      </c>
      <c r="BK9">
        <v>0.95502394524501499</v>
      </c>
      <c r="BL9">
        <v>0.99310344827586206</v>
      </c>
      <c r="BM9">
        <v>0.99846333681367405</v>
      </c>
      <c r="BN9">
        <v>1</v>
      </c>
      <c r="BO9" t="s">
        <v>84</v>
      </c>
      <c r="BP9" t="s">
        <v>85</v>
      </c>
      <c r="BQ9" t="s">
        <v>82</v>
      </c>
      <c r="BR9" t="s">
        <v>108</v>
      </c>
      <c r="BS9" t="s">
        <v>86</v>
      </c>
      <c r="BT9">
        <v>0.245</v>
      </c>
      <c r="BU9" t="s">
        <v>109</v>
      </c>
      <c r="BV9" t="s">
        <v>110</v>
      </c>
      <c r="BW9">
        <v>0.98899999999999999</v>
      </c>
      <c r="BX9">
        <v>0.96</v>
      </c>
      <c r="BY9">
        <v>0.98899999999999999</v>
      </c>
      <c r="BZ9">
        <v>0.96299999999999997</v>
      </c>
      <c r="CA9">
        <v>0.97399999999999998</v>
      </c>
      <c r="CB9">
        <v>0.95099999999999996</v>
      </c>
      <c r="CC9">
        <v>0.88900000000000001</v>
      </c>
    </row>
    <row r="10" spans="1:81" x14ac:dyDescent="0.2">
      <c r="A10" t="s">
        <v>80</v>
      </c>
      <c r="B10" t="s">
        <v>81</v>
      </c>
      <c r="C10" t="s">
        <v>82</v>
      </c>
      <c r="D10" t="s">
        <v>111</v>
      </c>
      <c r="E10" t="s">
        <v>106</v>
      </c>
      <c r="F10" t="s">
        <v>93</v>
      </c>
      <c r="G10" t="s">
        <v>93</v>
      </c>
      <c r="H10">
        <v>0.25050091277438902</v>
      </c>
      <c r="I10">
        <v>0.92698639942734395</v>
      </c>
      <c r="J10">
        <v>0.88806229259189395</v>
      </c>
      <c r="K10">
        <v>0.96103896103896103</v>
      </c>
      <c r="L10">
        <v>0.92072520440810501</v>
      </c>
      <c r="M10">
        <v>0.85899271466914795</v>
      </c>
      <c r="N10">
        <v>0.973856209150327</v>
      </c>
      <c r="O10">
        <v>0.97801936672013301</v>
      </c>
      <c r="P10">
        <v>0.96450117453644602</v>
      </c>
      <c r="Q10">
        <v>0.99036191739589496</v>
      </c>
      <c r="R10">
        <v>0.93333333333333302</v>
      </c>
      <c r="S10">
        <v>0.89102564102564097</v>
      </c>
      <c r="T10">
        <v>0.97080291970802901</v>
      </c>
      <c r="U10">
        <v>0.97362351410491499</v>
      </c>
      <c r="V10">
        <v>0.95078992739041202</v>
      </c>
      <c r="W10">
        <v>0.99152416708007296</v>
      </c>
      <c r="X10">
        <v>0.25050091277438902</v>
      </c>
      <c r="Y10">
        <v>0.23376014013721799</v>
      </c>
      <c r="Z10">
        <v>0.26948163794555202</v>
      </c>
      <c r="AA10">
        <v>0.90284137193789904</v>
      </c>
      <c r="AB10">
        <v>0.85157662808407497</v>
      </c>
      <c r="AC10">
        <v>0.94822670871223103</v>
      </c>
      <c r="AD10">
        <v>0.95315847194399606</v>
      </c>
      <c r="AE10">
        <v>0.92849523344751805</v>
      </c>
      <c r="AF10">
        <v>0.97440934876948604</v>
      </c>
      <c r="AG10">
        <v>0.973844108847291</v>
      </c>
      <c r="AH10">
        <v>0.94803136057293902</v>
      </c>
      <c r="AI10">
        <v>0.99210114353690804</v>
      </c>
      <c r="AJ10">
        <v>307</v>
      </c>
      <c r="AK10">
        <v>150</v>
      </c>
      <c r="AL10">
        <v>157</v>
      </c>
      <c r="AM10">
        <v>140</v>
      </c>
      <c r="AN10">
        <v>0</v>
      </c>
      <c r="AO10">
        <v>6</v>
      </c>
      <c r="AP10">
        <v>2</v>
      </c>
      <c r="AQ10">
        <v>10</v>
      </c>
      <c r="AR10">
        <v>0</v>
      </c>
      <c r="AS10">
        <v>3</v>
      </c>
      <c r="AT10">
        <v>146</v>
      </c>
      <c r="AU10">
        <v>147</v>
      </c>
      <c r="AV10">
        <v>4</v>
      </c>
      <c r="AW10">
        <v>13</v>
      </c>
      <c r="AX10">
        <v>143</v>
      </c>
      <c r="AY10">
        <v>0.88932714125156398</v>
      </c>
      <c r="AZ10">
        <v>0.83700384394843597</v>
      </c>
      <c r="BA10">
        <v>0.93487207772921999</v>
      </c>
      <c r="BB10">
        <v>966</v>
      </c>
      <c r="BC10">
        <v>1208.1596091205199</v>
      </c>
      <c r="BD10">
        <v>148</v>
      </c>
      <c r="BE10">
        <v>159</v>
      </c>
      <c r="BF10">
        <v>0.86265110317281801</v>
      </c>
      <c r="BG10">
        <v>0.95740222210527703</v>
      </c>
      <c r="BH10">
        <v>0.94585207797549997</v>
      </c>
      <c r="BI10">
        <v>0.99609194966317505</v>
      </c>
      <c r="BJ10">
        <v>0.85899271466914795</v>
      </c>
      <c r="BK10">
        <v>0.94585207797549997</v>
      </c>
      <c r="BL10">
        <v>0.973856209150327</v>
      </c>
      <c r="BM10">
        <v>0.99609194966317505</v>
      </c>
      <c r="BN10">
        <v>1</v>
      </c>
      <c r="BO10" t="s">
        <v>84</v>
      </c>
      <c r="BP10" t="s">
        <v>85</v>
      </c>
      <c r="BQ10" t="s">
        <v>82</v>
      </c>
      <c r="BR10" t="s">
        <v>111</v>
      </c>
      <c r="BS10" t="s">
        <v>86</v>
      </c>
      <c r="BT10">
        <v>0.251</v>
      </c>
      <c r="BU10" t="s">
        <v>112</v>
      </c>
      <c r="BV10" t="s">
        <v>113</v>
      </c>
      <c r="BW10">
        <v>0.97399999999999998</v>
      </c>
      <c r="BX10">
        <v>0.93300000000000005</v>
      </c>
      <c r="BY10">
        <v>0.97399999999999998</v>
      </c>
      <c r="BZ10">
        <v>0.92700000000000005</v>
      </c>
      <c r="CA10">
        <v>0.95299999999999996</v>
      </c>
      <c r="CB10">
        <v>0.90300000000000002</v>
      </c>
      <c r="CC10">
        <v>0.88900000000000001</v>
      </c>
    </row>
    <row r="11" spans="1:81" x14ac:dyDescent="0.2">
      <c r="A11" t="s">
        <v>80</v>
      </c>
      <c r="B11" t="s">
        <v>81</v>
      </c>
      <c r="C11" t="s">
        <v>82</v>
      </c>
      <c r="D11" t="s">
        <v>114</v>
      </c>
      <c r="E11" t="s">
        <v>106</v>
      </c>
      <c r="F11" t="s">
        <v>93</v>
      </c>
      <c r="G11" t="s">
        <v>93</v>
      </c>
      <c r="H11">
        <v>0.19769357495881401</v>
      </c>
      <c r="I11">
        <v>0.85185185185185197</v>
      </c>
      <c r="J11">
        <v>0.80334728033472802</v>
      </c>
      <c r="K11">
        <v>0.89510630498533705</v>
      </c>
      <c r="L11">
        <v>0.95833333333333304</v>
      </c>
      <c r="M11">
        <v>0.91869918699187003</v>
      </c>
      <c r="N11">
        <v>0.99145299145299104</v>
      </c>
      <c r="O11">
        <v>0.928131416837782</v>
      </c>
      <c r="P11">
        <v>0.90825643442307602</v>
      </c>
      <c r="Q11">
        <v>0.947408915490494</v>
      </c>
      <c r="R11">
        <v>0.76666666666666705</v>
      </c>
      <c r="S11">
        <v>0.69655172413793198</v>
      </c>
      <c r="T11">
        <v>0.83221476510067105</v>
      </c>
      <c r="U11">
        <v>0.98905908096280104</v>
      </c>
      <c r="V11">
        <v>0.97882477346357599</v>
      </c>
      <c r="W11">
        <v>0.99776059492119795</v>
      </c>
      <c r="X11">
        <v>0.19769357495881401</v>
      </c>
      <c r="Y11">
        <v>0.179795872610472</v>
      </c>
      <c r="Z11">
        <v>0.21479406919275101</v>
      </c>
      <c r="AA11">
        <v>0.81848899569281697</v>
      </c>
      <c r="AB11">
        <v>0.76486854694023498</v>
      </c>
      <c r="AC11">
        <v>0.86922796088382503</v>
      </c>
      <c r="AD11">
        <v>0.86484191020345103</v>
      </c>
      <c r="AE11">
        <v>0.81856524296494404</v>
      </c>
      <c r="AF11">
        <v>0.90503334201317398</v>
      </c>
      <c r="AG11">
        <v>0.99185336048879802</v>
      </c>
      <c r="AH11">
        <v>0.98335552815273297</v>
      </c>
      <c r="AI11">
        <v>0.99838858055187996</v>
      </c>
      <c r="AJ11">
        <v>307</v>
      </c>
      <c r="AK11">
        <v>150</v>
      </c>
      <c r="AL11">
        <v>157</v>
      </c>
      <c r="AM11">
        <v>115</v>
      </c>
      <c r="AN11">
        <v>0</v>
      </c>
      <c r="AO11">
        <v>5</v>
      </c>
      <c r="AP11">
        <v>0</v>
      </c>
      <c r="AQ11">
        <v>35</v>
      </c>
      <c r="AR11">
        <v>0</v>
      </c>
      <c r="AS11">
        <v>4</v>
      </c>
      <c r="AT11">
        <v>148</v>
      </c>
      <c r="AU11">
        <v>147</v>
      </c>
      <c r="AV11">
        <v>4</v>
      </c>
      <c r="AW11">
        <v>13</v>
      </c>
      <c r="AX11">
        <v>143</v>
      </c>
      <c r="AY11">
        <v>0.88932714125156398</v>
      </c>
      <c r="AZ11">
        <v>0.83692696016118096</v>
      </c>
      <c r="BA11">
        <v>0.93486378681150795</v>
      </c>
      <c r="BB11">
        <v>966</v>
      </c>
      <c r="BC11">
        <v>1208.1596091205199</v>
      </c>
      <c r="BD11">
        <v>120</v>
      </c>
      <c r="BE11">
        <v>187</v>
      </c>
      <c r="BF11">
        <v>0.90544120002406303</v>
      </c>
      <c r="BG11">
        <v>0.98633461588321003</v>
      </c>
      <c r="BH11">
        <v>0.88405464731273697</v>
      </c>
      <c r="BI11">
        <v>0.96246743192329598</v>
      </c>
      <c r="BJ11">
        <v>0.90544120002406303</v>
      </c>
      <c r="BK11">
        <v>0.88405464731273697</v>
      </c>
      <c r="BL11">
        <v>0.99145299145299104</v>
      </c>
      <c r="BM11">
        <v>0.96246743192329598</v>
      </c>
      <c r="BN11">
        <v>1</v>
      </c>
      <c r="BO11" t="s">
        <v>84</v>
      </c>
      <c r="BP11" t="s">
        <v>85</v>
      </c>
      <c r="BQ11" t="s">
        <v>82</v>
      </c>
      <c r="BR11" t="s">
        <v>114</v>
      </c>
      <c r="BS11" t="s">
        <v>86</v>
      </c>
      <c r="BT11">
        <v>0.19800000000000001</v>
      </c>
      <c r="BU11" t="s">
        <v>115</v>
      </c>
      <c r="BV11" t="s">
        <v>116</v>
      </c>
      <c r="BW11">
        <v>0.99199999999999999</v>
      </c>
      <c r="BX11">
        <v>0.76700000000000002</v>
      </c>
      <c r="BY11">
        <v>0.98899999999999999</v>
      </c>
      <c r="BZ11">
        <v>0.85199999999999998</v>
      </c>
      <c r="CA11">
        <v>0.86499999999999999</v>
      </c>
      <c r="CB11">
        <v>0.81799999999999995</v>
      </c>
      <c r="CC11">
        <v>0.88900000000000001</v>
      </c>
    </row>
    <row r="12" spans="1:81" x14ac:dyDescent="0.2">
      <c r="A12" t="s">
        <v>80</v>
      </c>
      <c r="B12" t="s">
        <v>81</v>
      </c>
      <c r="C12" t="s">
        <v>82</v>
      </c>
      <c r="D12" t="s">
        <v>117</v>
      </c>
      <c r="E12" t="s">
        <v>106</v>
      </c>
      <c r="F12" t="s">
        <v>93</v>
      </c>
      <c r="G12" t="s">
        <v>93</v>
      </c>
      <c r="H12">
        <v>0.292428297031539</v>
      </c>
      <c r="I12">
        <v>0.89486669753523396</v>
      </c>
      <c r="J12">
        <v>0.83708991458238202</v>
      </c>
      <c r="K12">
        <v>0.94848095702402402</v>
      </c>
      <c r="L12">
        <v>0.82172527722555699</v>
      </c>
      <c r="M12">
        <v>0.73151225097987105</v>
      </c>
      <c r="N12">
        <v>0.91228205792386996</v>
      </c>
      <c r="O12">
        <v>0.99388096972143802</v>
      </c>
      <c r="P12">
        <v>0.98449851672848598</v>
      </c>
      <c r="Q12">
        <v>1</v>
      </c>
      <c r="R12">
        <v>0.98230088495575296</v>
      </c>
      <c r="S12">
        <v>0.95454545454545503</v>
      </c>
      <c r="T12">
        <v>1</v>
      </c>
      <c r="U12">
        <v>0.93098447851342003</v>
      </c>
      <c r="V12">
        <v>0.88589073935010398</v>
      </c>
      <c r="W12">
        <v>0.96863928890498796</v>
      </c>
      <c r="X12">
        <v>0.292428297031539</v>
      </c>
      <c r="Y12">
        <v>0.26522891197870702</v>
      </c>
      <c r="Z12">
        <v>0.32552492332685101</v>
      </c>
      <c r="AA12">
        <v>0.86306503097432596</v>
      </c>
      <c r="AB12">
        <v>0.79096403544233995</v>
      </c>
      <c r="AC12">
        <v>0.93150301916259104</v>
      </c>
      <c r="AD12">
        <v>0.94962531239959302</v>
      </c>
      <c r="AE12">
        <v>0.91177635315846395</v>
      </c>
      <c r="AF12">
        <v>0.977027749369342</v>
      </c>
      <c r="AG12">
        <v>0.91905361729590096</v>
      </c>
      <c r="AH12">
        <v>0.85358031941812496</v>
      </c>
      <c r="AI12">
        <v>0.96649230975640199</v>
      </c>
      <c r="AJ12">
        <v>227</v>
      </c>
      <c r="AK12">
        <v>113</v>
      </c>
      <c r="AL12">
        <v>114</v>
      </c>
      <c r="AM12">
        <v>111</v>
      </c>
      <c r="AN12">
        <v>0</v>
      </c>
      <c r="AO12">
        <v>8</v>
      </c>
      <c r="AP12">
        <v>5</v>
      </c>
      <c r="AQ12">
        <v>2</v>
      </c>
      <c r="AR12">
        <v>0</v>
      </c>
      <c r="AS12">
        <v>0</v>
      </c>
      <c r="AT12">
        <v>101</v>
      </c>
      <c r="AU12">
        <v>111</v>
      </c>
      <c r="AV12">
        <v>2</v>
      </c>
      <c r="AW12">
        <v>12</v>
      </c>
      <c r="AX12">
        <v>102</v>
      </c>
      <c r="AY12">
        <v>0.87669744703965202</v>
      </c>
      <c r="AZ12">
        <v>0.80756299297331402</v>
      </c>
      <c r="BA12">
        <v>0.93740397872759496</v>
      </c>
      <c r="BB12">
        <v>5140</v>
      </c>
      <c r="BC12">
        <v>5623.2995594713702</v>
      </c>
      <c r="BD12">
        <v>124</v>
      </c>
      <c r="BE12">
        <v>103</v>
      </c>
      <c r="BF12">
        <v>0.74379886711741094</v>
      </c>
      <c r="BG12">
        <v>0.88534415606303396</v>
      </c>
      <c r="BH12">
        <v>0.94709171325979602</v>
      </c>
      <c r="BI12">
        <v>0.99975422624630605</v>
      </c>
      <c r="BJ12">
        <v>0.73151225097987105</v>
      </c>
      <c r="BK12">
        <v>0.94709171325979602</v>
      </c>
      <c r="BL12">
        <v>0.91228205792386996</v>
      </c>
      <c r="BM12">
        <v>1</v>
      </c>
      <c r="BN12">
        <v>1</v>
      </c>
      <c r="BO12" t="s">
        <v>84</v>
      </c>
      <c r="BP12" t="s">
        <v>85</v>
      </c>
      <c r="BQ12" t="s">
        <v>82</v>
      </c>
      <c r="BR12" t="s">
        <v>117</v>
      </c>
      <c r="BS12" t="s">
        <v>100</v>
      </c>
      <c r="BT12">
        <v>0.29199999999999998</v>
      </c>
      <c r="BU12" t="s">
        <v>104</v>
      </c>
      <c r="BV12" t="s">
        <v>105</v>
      </c>
      <c r="BW12">
        <v>0.91900000000000004</v>
      </c>
      <c r="BX12">
        <v>0.98199999999999998</v>
      </c>
      <c r="BY12">
        <v>0.93100000000000005</v>
      </c>
      <c r="BZ12">
        <v>0.89500000000000002</v>
      </c>
      <c r="CA12">
        <v>0.95</v>
      </c>
      <c r="CB12">
        <v>0.86299999999999999</v>
      </c>
      <c r="CC12">
        <v>0.877</v>
      </c>
    </row>
    <row r="13" spans="1:81" x14ac:dyDescent="0.2">
      <c r="A13" t="s">
        <v>80</v>
      </c>
      <c r="B13" t="s">
        <v>81</v>
      </c>
      <c r="C13" t="s">
        <v>82</v>
      </c>
      <c r="D13" t="s">
        <v>119</v>
      </c>
      <c r="E13" t="s">
        <v>106</v>
      </c>
      <c r="F13" t="s">
        <v>93</v>
      </c>
      <c r="G13" t="s">
        <v>93</v>
      </c>
      <c r="H13">
        <v>0.24509368968664599</v>
      </c>
      <c r="I13">
        <v>0.91063276198969201</v>
      </c>
      <c r="J13">
        <v>0.86231551491427005</v>
      </c>
      <c r="K13">
        <v>0.95041322314049603</v>
      </c>
      <c r="L13">
        <v>0.909762764733134</v>
      </c>
      <c r="M13">
        <v>0.83648676995052496</v>
      </c>
      <c r="N13">
        <v>0.97000742574257404</v>
      </c>
      <c r="O13">
        <v>0.97132324491418898</v>
      </c>
      <c r="P13">
        <v>0.95411597814613203</v>
      </c>
      <c r="Q13">
        <v>0.98727347845927604</v>
      </c>
      <c r="R13">
        <v>0.91150442477876104</v>
      </c>
      <c r="S13">
        <v>0.855855855855856</v>
      </c>
      <c r="T13">
        <v>0.9609375</v>
      </c>
      <c r="U13">
        <v>0.97072104855055696</v>
      </c>
      <c r="V13">
        <v>0.94420124187278398</v>
      </c>
      <c r="W13">
        <v>0.990528949249464</v>
      </c>
      <c r="X13">
        <v>0.24509368968664599</v>
      </c>
      <c r="Y13">
        <v>0.22688046163834</v>
      </c>
      <c r="Z13">
        <v>0.26638036044131602</v>
      </c>
      <c r="AA13">
        <v>0.88165555740603696</v>
      </c>
      <c r="AB13">
        <v>0.81870513901554498</v>
      </c>
      <c r="AC13">
        <v>0.93441440011181998</v>
      </c>
      <c r="AD13">
        <v>0.94053886035048195</v>
      </c>
      <c r="AE13">
        <v>0.90822435223463105</v>
      </c>
      <c r="AF13">
        <v>0.96754707061734302</v>
      </c>
      <c r="AG13">
        <v>0.97148383896452395</v>
      </c>
      <c r="AH13">
        <v>0.94110866543749405</v>
      </c>
      <c r="AI13">
        <v>0.99125807402265997</v>
      </c>
      <c r="AJ13">
        <v>227</v>
      </c>
      <c r="AK13">
        <v>113</v>
      </c>
      <c r="AL13">
        <v>114</v>
      </c>
      <c r="AM13">
        <v>103</v>
      </c>
      <c r="AN13">
        <v>0</v>
      </c>
      <c r="AO13">
        <v>7</v>
      </c>
      <c r="AP13">
        <v>1</v>
      </c>
      <c r="AQ13">
        <v>10</v>
      </c>
      <c r="AR13">
        <v>0</v>
      </c>
      <c r="AS13">
        <v>1</v>
      </c>
      <c r="AT13">
        <v>105</v>
      </c>
      <c r="AU13">
        <v>111</v>
      </c>
      <c r="AV13">
        <v>2</v>
      </c>
      <c r="AW13">
        <v>12</v>
      </c>
      <c r="AX13">
        <v>102</v>
      </c>
      <c r="AY13">
        <v>0.87669744703965202</v>
      </c>
      <c r="AZ13">
        <v>0.81357788119354002</v>
      </c>
      <c r="BA13">
        <v>0.93615140434765098</v>
      </c>
      <c r="BB13">
        <v>5140</v>
      </c>
      <c r="BC13">
        <v>5623.2995594713702</v>
      </c>
      <c r="BD13">
        <v>111</v>
      </c>
      <c r="BE13">
        <v>116</v>
      </c>
      <c r="BF13">
        <v>0.84055759107196004</v>
      </c>
      <c r="BG13">
        <v>0.95594904997464902</v>
      </c>
      <c r="BH13">
        <v>0.92627869486423597</v>
      </c>
      <c r="BI13">
        <v>0.99463453165395799</v>
      </c>
      <c r="BJ13">
        <v>0.83648676995052496</v>
      </c>
      <c r="BK13">
        <v>0.92627869486423597</v>
      </c>
      <c r="BL13">
        <v>0.97000742574257404</v>
      </c>
      <c r="BM13">
        <v>0.99463453165395799</v>
      </c>
      <c r="BN13">
        <v>1</v>
      </c>
      <c r="BO13" t="s">
        <v>84</v>
      </c>
      <c r="BP13" t="s">
        <v>85</v>
      </c>
      <c r="BQ13" t="s">
        <v>82</v>
      </c>
      <c r="BR13" t="s">
        <v>119</v>
      </c>
      <c r="BS13" t="s">
        <v>100</v>
      </c>
      <c r="BT13">
        <v>0.245</v>
      </c>
      <c r="BU13" t="s">
        <v>101</v>
      </c>
      <c r="BV13" t="s">
        <v>102</v>
      </c>
      <c r="BW13">
        <v>0.97099999999999997</v>
      </c>
      <c r="BX13">
        <v>0.91200000000000003</v>
      </c>
      <c r="BY13">
        <v>0.97099999999999997</v>
      </c>
      <c r="BZ13">
        <v>0.91100000000000003</v>
      </c>
      <c r="CA13">
        <v>0.94099999999999995</v>
      </c>
      <c r="CB13">
        <v>0.88200000000000001</v>
      </c>
      <c r="CC13">
        <v>0.877</v>
      </c>
    </row>
    <row r="14" spans="1:81" x14ac:dyDescent="0.2">
      <c r="A14" t="s">
        <v>80</v>
      </c>
      <c r="B14" t="s">
        <v>81</v>
      </c>
      <c r="C14" t="s">
        <v>82</v>
      </c>
      <c r="D14" t="s">
        <v>120</v>
      </c>
      <c r="E14" t="s">
        <v>106</v>
      </c>
      <c r="F14" t="s">
        <v>93</v>
      </c>
      <c r="G14" t="s">
        <v>93</v>
      </c>
      <c r="H14">
        <v>0.252103833652433</v>
      </c>
      <c r="I14">
        <v>0.97681056011416301</v>
      </c>
      <c r="J14">
        <v>0.95130085970603995</v>
      </c>
      <c r="K14">
        <v>0.99651567944250896</v>
      </c>
      <c r="L14">
        <v>0.96714941716707903</v>
      </c>
      <c r="M14">
        <v>0.920851300465234</v>
      </c>
      <c r="N14">
        <v>1</v>
      </c>
      <c r="O14">
        <v>0.99559445139012903</v>
      </c>
      <c r="P14">
        <v>0.98883234849433399</v>
      </c>
      <c r="Q14">
        <v>1</v>
      </c>
      <c r="R14">
        <v>0.98666666666666702</v>
      </c>
      <c r="S14">
        <v>0.96598639455782398</v>
      </c>
      <c r="T14">
        <v>1</v>
      </c>
      <c r="U14">
        <v>0.98899994085989695</v>
      </c>
      <c r="V14">
        <v>0.97230884370252402</v>
      </c>
      <c r="W14">
        <v>1</v>
      </c>
      <c r="X14">
        <v>0.252103833652433</v>
      </c>
      <c r="Y14">
        <v>0.23916624883604301</v>
      </c>
      <c r="Z14">
        <v>0.26644289284066702</v>
      </c>
      <c r="AA14">
        <v>0.96918369990018405</v>
      </c>
      <c r="AB14">
        <v>0.93562844994517902</v>
      </c>
      <c r="AC14">
        <v>0.99539290648065004</v>
      </c>
      <c r="AD14">
        <v>0.98774681174240797</v>
      </c>
      <c r="AE14">
        <v>0.97480415299295997</v>
      </c>
      <c r="AF14">
        <v>0.99781432205916898</v>
      </c>
      <c r="AG14">
        <v>0.98882932436957105</v>
      </c>
      <c r="AH14">
        <v>0.97060826463573502</v>
      </c>
      <c r="AI14">
        <v>1</v>
      </c>
      <c r="AJ14">
        <v>307</v>
      </c>
      <c r="AK14">
        <v>150</v>
      </c>
      <c r="AL14">
        <v>157</v>
      </c>
      <c r="AM14">
        <v>148</v>
      </c>
      <c r="AN14">
        <v>0</v>
      </c>
      <c r="AO14">
        <v>2</v>
      </c>
      <c r="AP14">
        <v>1</v>
      </c>
      <c r="AQ14">
        <v>2</v>
      </c>
      <c r="AR14">
        <v>0</v>
      </c>
      <c r="AS14">
        <v>7</v>
      </c>
      <c r="AT14">
        <v>147</v>
      </c>
      <c r="AU14">
        <v>147</v>
      </c>
      <c r="AV14">
        <v>4</v>
      </c>
      <c r="AW14">
        <v>13</v>
      </c>
      <c r="AX14">
        <v>143</v>
      </c>
      <c r="AY14">
        <v>0.88932714125156398</v>
      </c>
      <c r="AZ14">
        <v>0.83682971275742102</v>
      </c>
      <c r="BA14">
        <v>0.94089377909137095</v>
      </c>
      <c r="BB14">
        <v>966</v>
      </c>
      <c r="BC14">
        <v>1208.1596091205199</v>
      </c>
      <c r="BD14">
        <v>151</v>
      </c>
      <c r="BE14">
        <v>156</v>
      </c>
      <c r="BF14">
        <v>0.924420255919572</v>
      </c>
      <c r="BG14">
        <v>0.98916264640795404</v>
      </c>
      <c r="BH14">
        <v>0.96480329928518804</v>
      </c>
      <c r="BI14">
        <v>0.99983771952797595</v>
      </c>
      <c r="BJ14">
        <v>0.920851300465234</v>
      </c>
      <c r="BK14">
        <v>0.96480329928518804</v>
      </c>
      <c r="BL14">
        <v>1</v>
      </c>
      <c r="BM14">
        <v>1</v>
      </c>
      <c r="BN14">
        <v>1</v>
      </c>
      <c r="BO14" t="s">
        <v>84</v>
      </c>
      <c r="BP14" t="s">
        <v>85</v>
      </c>
      <c r="BQ14" t="s">
        <v>82</v>
      </c>
      <c r="BR14" t="s">
        <v>120</v>
      </c>
      <c r="BS14" t="s">
        <v>86</v>
      </c>
      <c r="BT14">
        <v>0.252</v>
      </c>
      <c r="BU14" t="s">
        <v>121</v>
      </c>
      <c r="BV14" t="s">
        <v>122</v>
      </c>
      <c r="BW14">
        <v>0.98899999999999999</v>
      </c>
      <c r="BX14">
        <v>0.98699999999999999</v>
      </c>
      <c r="BY14">
        <v>0.98899999999999999</v>
      </c>
      <c r="BZ14">
        <v>0.97699999999999998</v>
      </c>
      <c r="CA14">
        <v>0.98799999999999999</v>
      </c>
      <c r="CB14">
        <v>0.96899999999999997</v>
      </c>
      <c r="CC14">
        <v>0.88900000000000001</v>
      </c>
    </row>
    <row r="15" spans="1:81" x14ac:dyDescent="0.2">
      <c r="A15" t="s">
        <v>80</v>
      </c>
      <c r="B15" t="s">
        <v>81</v>
      </c>
      <c r="C15" t="s">
        <v>82</v>
      </c>
      <c r="D15" t="s">
        <v>123</v>
      </c>
      <c r="E15" t="s">
        <v>106</v>
      </c>
      <c r="F15" t="s">
        <v>93</v>
      </c>
      <c r="G15" t="s">
        <v>93</v>
      </c>
      <c r="H15">
        <v>0.28362794425397397</v>
      </c>
      <c r="I15">
        <v>0.92500000000000004</v>
      </c>
      <c r="J15">
        <v>0.87920938768388701</v>
      </c>
      <c r="K15">
        <v>0.96521334143042803</v>
      </c>
      <c r="L15">
        <v>0.86546310832025097</v>
      </c>
      <c r="M15">
        <v>0.79002028889586196</v>
      </c>
      <c r="N15">
        <v>0.93834054656805999</v>
      </c>
      <c r="O15">
        <v>0.99770029212505396</v>
      </c>
      <c r="P15">
        <v>0.99257548591309497</v>
      </c>
      <c r="Q15">
        <v>1</v>
      </c>
      <c r="R15">
        <v>0.99333333333333296</v>
      </c>
      <c r="S15">
        <v>0.97841726618705005</v>
      </c>
      <c r="T15">
        <v>1</v>
      </c>
      <c r="U15">
        <v>0.94931693181146104</v>
      </c>
      <c r="V15">
        <v>0.91435045493832701</v>
      </c>
      <c r="W15">
        <v>0.97821252511793699</v>
      </c>
      <c r="X15">
        <v>0.28362794425397397</v>
      </c>
      <c r="Y15">
        <v>0.26130110195120798</v>
      </c>
      <c r="Z15">
        <v>0.309554457445612</v>
      </c>
      <c r="AA15">
        <v>0.90203171135667404</v>
      </c>
      <c r="AB15">
        <v>0.844224072516508</v>
      </c>
      <c r="AC15">
        <v>0.95397206933811896</v>
      </c>
      <c r="AD15">
        <v>0.96718927501660401</v>
      </c>
      <c r="AE15">
        <v>0.94066095528113502</v>
      </c>
      <c r="AF15">
        <v>0.986188496233947</v>
      </c>
      <c r="AG15">
        <v>0.94238612291489499</v>
      </c>
      <c r="AH15">
        <v>0.89498298824170497</v>
      </c>
      <c r="AI15">
        <v>0.97709686183720801</v>
      </c>
      <c r="AJ15">
        <v>307</v>
      </c>
      <c r="AK15">
        <v>150</v>
      </c>
      <c r="AL15">
        <v>157</v>
      </c>
      <c r="AM15">
        <v>149</v>
      </c>
      <c r="AN15">
        <v>0</v>
      </c>
      <c r="AO15">
        <v>5</v>
      </c>
      <c r="AP15">
        <v>6</v>
      </c>
      <c r="AQ15">
        <v>1</v>
      </c>
      <c r="AR15">
        <v>0</v>
      </c>
      <c r="AS15">
        <v>4</v>
      </c>
      <c r="AT15">
        <v>142</v>
      </c>
      <c r="AU15">
        <v>147</v>
      </c>
      <c r="AV15">
        <v>4</v>
      </c>
      <c r="AW15">
        <v>13</v>
      </c>
      <c r="AX15">
        <v>143</v>
      </c>
      <c r="AY15">
        <v>0.88932714125156398</v>
      </c>
      <c r="AZ15">
        <v>0.83564254663040405</v>
      </c>
      <c r="BA15">
        <v>0.934880642748112</v>
      </c>
      <c r="BB15">
        <v>966</v>
      </c>
      <c r="BC15">
        <v>1208.1596091205199</v>
      </c>
      <c r="BD15">
        <v>160</v>
      </c>
      <c r="BE15">
        <v>147</v>
      </c>
      <c r="BF15">
        <v>0.79925399480742998</v>
      </c>
      <c r="BG15">
        <v>0.91178066982888795</v>
      </c>
      <c r="BH15">
        <v>0.97521782951041902</v>
      </c>
      <c r="BI15">
        <v>1</v>
      </c>
      <c r="BJ15">
        <v>0.79002028889586196</v>
      </c>
      <c r="BK15">
        <v>0.97521782951041902</v>
      </c>
      <c r="BL15">
        <v>0.93834054656805999</v>
      </c>
      <c r="BM15">
        <v>1</v>
      </c>
      <c r="BN15">
        <v>1</v>
      </c>
      <c r="BO15" t="s">
        <v>84</v>
      </c>
      <c r="BP15" t="s">
        <v>85</v>
      </c>
      <c r="BQ15" t="s">
        <v>82</v>
      </c>
      <c r="BR15" t="s">
        <v>123</v>
      </c>
      <c r="BS15" t="s">
        <v>86</v>
      </c>
      <c r="BT15">
        <v>0.28399999999999997</v>
      </c>
      <c r="BU15" t="s">
        <v>124</v>
      </c>
      <c r="BV15" t="s">
        <v>125</v>
      </c>
      <c r="BW15">
        <v>0.94199999999999995</v>
      </c>
      <c r="BX15">
        <v>0.99299999999999999</v>
      </c>
      <c r="BY15">
        <v>0.94899999999999995</v>
      </c>
      <c r="BZ15">
        <v>0.92500000000000004</v>
      </c>
      <c r="CA15">
        <v>0.96699999999999997</v>
      </c>
      <c r="CB15">
        <v>0.90200000000000002</v>
      </c>
      <c r="CC15">
        <v>0.88900000000000001</v>
      </c>
    </row>
    <row r="16" spans="1:81" x14ac:dyDescent="0.2">
      <c r="A16" t="s">
        <v>80</v>
      </c>
      <c r="B16" t="s">
        <v>126</v>
      </c>
      <c r="C16" t="s">
        <v>82</v>
      </c>
      <c r="D16" t="s">
        <v>83</v>
      </c>
      <c r="E16" t="s">
        <v>89</v>
      </c>
      <c r="F16">
        <v>522</v>
      </c>
      <c r="G16">
        <v>1000</v>
      </c>
      <c r="H16">
        <v>0.52200000000000002</v>
      </c>
      <c r="I16">
        <v>0.950473379471797</v>
      </c>
      <c r="J16">
        <v>0.92786145406729503</v>
      </c>
      <c r="K16">
        <v>0.97193021786681699</v>
      </c>
      <c r="L16">
        <v>0.98168999400526502</v>
      </c>
      <c r="M16">
        <v>0.95816585466827098</v>
      </c>
      <c r="N16">
        <v>1</v>
      </c>
      <c r="O16">
        <v>0.908271644673318</v>
      </c>
      <c r="P16">
        <v>0.86103669030477803</v>
      </c>
      <c r="Q16">
        <v>0.95260925151092501</v>
      </c>
      <c r="R16">
        <v>0.92118088511824803</v>
      </c>
      <c r="S16">
        <v>0.88505325957187198</v>
      </c>
      <c r="T16">
        <v>0.95770528737972804</v>
      </c>
      <c r="U16">
        <v>0.97845938299370305</v>
      </c>
      <c r="V16">
        <v>0.95190321004073297</v>
      </c>
      <c r="W16">
        <v>1</v>
      </c>
      <c r="X16">
        <v>0.52200000000000002</v>
      </c>
      <c r="Y16">
        <v>0.52200000000000002</v>
      </c>
      <c r="Z16">
        <v>0.52200000000000002</v>
      </c>
      <c r="AA16">
        <v>0.89478786716749303</v>
      </c>
      <c r="AB16">
        <v>0.84570646298404795</v>
      </c>
      <c r="AC16">
        <v>0.94091362547488799</v>
      </c>
      <c r="AD16">
        <v>0.95042303688631302</v>
      </c>
      <c r="AE16">
        <v>0.92821498665868296</v>
      </c>
      <c r="AF16">
        <v>0.97166954123879201</v>
      </c>
      <c r="AG16">
        <v>0.981582592637531</v>
      </c>
      <c r="AH16">
        <v>0.95808290271493302</v>
      </c>
      <c r="AI16">
        <v>1</v>
      </c>
      <c r="AJ16">
        <v>300</v>
      </c>
      <c r="AK16">
        <v>164</v>
      </c>
      <c r="AL16">
        <v>136</v>
      </c>
      <c r="AM16">
        <v>145</v>
      </c>
      <c r="AN16">
        <v>6</v>
      </c>
      <c r="AO16">
        <v>2</v>
      </c>
      <c r="AP16">
        <v>1</v>
      </c>
      <c r="AQ16">
        <v>2</v>
      </c>
      <c r="AR16">
        <v>11</v>
      </c>
      <c r="AS16">
        <v>1</v>
      </c>
      <c r="AT16">
        <v>132</v>
      </c>
      <c r="AU16">
        <v>155</v>
      </c>
      <c r="AV16">
        <v>1</v>
      </c>
      <c r="AW16">
        <v>11</v>
      </c>
      <c r="AX16">
        <v>133</v>
      </c>
      <c r="AY16">
        <v>0.91965720407070195</v>
      </c>
      <c r="AZ16">
        <v>0.87290289741948202</v>
      </c>
      <c r="BA16">
        <v>0.95992898520881098</v>
      </c>
      <c r="BB16">
        <v>679</v>
      </c>
      <c r="BC16">
        <v>1092.37666666667</v>
      </c>
      <c r="BD16">
        <v>154</v>
      </c>
      <c r="BE16">
        <v>146</v>
      </c>
      <c r="BF16">
        <v>0.94412701716963898</v>
      </c>
      <c r="BG16">
        <v>0.99596448951233696</v>
      </c>
      <c r="BH16">
        <v>0.85255027131160699</v>
      </c>
      <c r="BI16">
        <v>0.95173472464491604</v>
      </c>
      <c r="BJ16">
        <v>0.94412701716963898</v>
      </c>
      <c r="BK16">
        <v>0.85255027131160699</v>
      </c>
      <c r="BL16">
        <v>1</v>
      </c>
      <c r="BM16">
        <v>0.95260925151092501</v>
      </c>
      <c r="BN16">
        <v>1</v>
      </c>
      <c r="BO16" t="s">
        <v>84</v>
      </c>
      <c r="BP16" t="s">
        <v>127</v>
      </c>
      <c r="BQ16" t="s">
        <v>82</v>
      </c>
      <c r="BR16" t="s">
        <v>83</v>
      </c>
      <c r="BS16" t="s">
        <v>86</v>
      </c>
      <c r="BT16">
        <v>0.52200000000000002</v>
      </c>
      <c r="BU16" t="s">
        <v>128</v>
      </c>
      <c r="BV16" t="s">
        <v>129</v>
      </c>
      <c r="BW16">
        <v>0.98199999999999998</v>
      </c>
      <c r="BX16">
        <v>0.92100000000000004</v>
      </c>
      <c r="BY16">
        <v>0.97799999999999998</v>
      </c>
      <c r="BZ16">
        <v>0.95</v>
      </c>
      <c r="CA16">
        <v>0.95</v>
      </c>
      <c r="CB16">
        <v>0.89500000000000002</v>
      </c>
      <c r="CC16">
        <v>0.92</v>
      </c>
    </row>
    <row r="17" spans="1:81" x14ac:dyDescent="0.2">
      <c r="A17" t="s">
        <v>80</v>
      </c>
      <c r="B17" t="s">
        <v>126</v>
      </c>
      <c r="C17" t="s">
        <v>82</v>
      </c>
      <c r="D17" t="s">
        <v>89</v>
      </c>
      <c r="E17" t="s">
        <v>89</v>
      </c>
      <c r="F17">
        <v>515</v>
      </c>
      <c r="G17">
        <v>1000</v>
      </c>
      <c r="H17">
        <v>0.51500000000000001</v>
      </c>
      <c r="I17">
        <v>0.93926799007444195</v>
      </c>
      <c r="J17">
        <v>0.91437620520379503</v>
      </c>
      <c r="K17">
        <v>0.96243325705568294</v>
      </c>
      <c r="L17">
        <v>0.98</v>
      </c>
      <c r="M17">
        <v>0.95483870967741902</v>
      </c>
      <c r="N17">
        <v>1</v>
      </c>
      <c r="O17">
        <v>0.88666666666666705</v>
      </c>
      <c r="P17">
        <v>0.83333333333333304</v>
      </c>
      <c r="Q17">
        <v>0.93373593712598701</v>
      </c>
      <c r="R17">
        <v>0.901786777843955</v>
      </c>
      <c r="S17">
        <v>0.86250114520441301</v>
      </c>
      <c r="T17">
        <v>0.93982925089456004</v>
      </c>
      <c r="U17">
        <v>0.97660862982588903</v>
      </c>
      <c r="V17">
        <v>0.9483871194447</v>
      </c>
      <c r="W17">
        <v>1</v>
      </c>
      <c r="X17">
        <v>0.51500000000000001</v>
      </c>
      <c r="Y17">
        <v>0.51500000000000001</v>
      </c>
      <c r="Z17">
        <v>0.51500000000000001</v>
      </c>
      <c r="AA17">
        <v>0.87251132942818099</v>
      </c>
      <c r="AB17">
        <v>0.81892957133167998</v>
      </c>
      <c r="AC17">
        <v>0.92177041905523005</v>
      </c>
      <c r="AD17">
        <v>0.93965013600316005</v>
      </c>
      <c r="AE17">
        <v>0.91530293114612604</v>
      </c>
      <c r="AF17">
        <v>0.96239574595885402</v>
      </c>
      <c r="AG17">
        <v>0.98083238530115502</v>
      </c>
      <c r="AH17">
        <v>0.95658166234484199</v>
      </c>
      <c r="AI17">
        <v>1</v>
      </c>
      <c r="AJ17">
        <v>300</v>
      </c>
      <c r="AK17">
        <v>164</v>
      </c>
      <c r="AL17">
        <v>136</v>
      </c>
      <c r="AM17">
        <v>147</v>
      </c>
      <c r="AN17">
        <v>0</v>
      </c>
      <c r="AO17">
        <v>3</v>
      </c>
      <c r="AP17">
        <v>0</v>
      </c>
      <c r="AQ17">
        <v>0</v>
      </c>
      <c r="AR17">
        <v>17</v>
      </c>
      <c r="AS17">
        <v>0</v>
      </c>
      <c r="AT17">
        <v>133</v>
      </c>
      <c r="AU17">
        <v>155</v>
      </c>
      <c r="AV17">
        <v>1</v>
      </c>
      <c r="AW17">
        <v>11</v>
      </c>
      <c r="AX17">
        <v>133</v>
      </c>
      <c r="AY17">
        <v>0.91965720407070195</v>
      </c>
      <c r="AZ17">
        <v>0.87318622926145295</v>
      </c>
      <c r="BA17">
        <v>0.95992876224398904</v>
      </c>
      <c r="BB17">
        <v>679</v>
      </c>
      <c r="BC17">
        <v>1092.37666666667</v>
      </c>
      <c r="BD17">
        <v>150</v>
      </c>
      <c r="BE17">
        <v>150</v>
      </c>
      <c r="BF17">
        <v>0.94266577771179405</v>
      </c>
      <c r="BG17">
        <v>0.99585637471877897</v>
      </c>
      <c r="BH17">
        <v>0.82475136133446303</v>
      </c>
      <c r="BI17">
        <v>0.93257586035209095</v>
      </c>
      <c r="BJ17">
        <v>0.94266577771179405</v>
      </c>
      <c r="BK17">
        <v>0.82475136133446303</v>
      </c>
      <c r="BL17">
        <v>1</v>
      </c>
      <c r="BM17">
        <v>0.93373593712598701</v>
      </c>
      <c r="BN17">
        <v>1</v>
      </c>
      <c r="BO17" t="s">
        <v>84</v>
      </c>
      <c r="BP17" t="s">
        <v>127</v>
      </c>
      <c r="BQ17" t="s">
        <v>82</v>
      </c>
      <c r="BR17" t="s">
        <v>89</v>
      </c>
      <c r="BS17" t="s">
        <v>86</v>
      </c>
      <c r="BT17">
        <v>0.51500000000000001</v>
      </c>
      <c r="BU17" t="s">
        <v>130</v>
      </c>
      <c r="BV17" t="s">
        <v>131</v>
      </c>
      <c r="BW17">
        <v>0.98099999999999998</v>
      </c>
      <c r="BX17">
        <v>0.90200000000000002</v>
      </c>
      <c r="BY17">
        <v>0.97699999999999998</v>
      </c>
      <c r="BZ17">
        <v>0.93899999999999995</v>
      </c>
      <c r="CA17">
        <v>0.94</v>
      </c>
      <c r="CB17">
        <v>0.873</v>
      </c>
      <c r="CC17">
        <v>0.92</v>
      </c>
    </row>
    <row r="18" spans="1:81" x14ac:dyDescent="0.2">
      <c r="A18" t="s">
        <v>80</v>
      </c>
      <c r="B18" t="s">
        <v>126</v>
      </c>
      <c r="C18" t="s">
        <v>82</v>
      </c>
      <c r="D18" t="s">
        <v>106</v>
      </c>
      <c r="E18" t="s">
        <v>89</v>
      </c>
      <c r="F18">
        <v>534</v>
      </c>
      <c r="G18">
        <v>1000</v>
      </c>
      <c r="H18">
        <v>0.53400000000000003</v>
      </c>
      <c r="I18">
        <v>0.95379412041818401</v>
      </c>
      <c r="J18">
        <v>0.93032552033927396</v>
      </c>
      <c r="K18">
        <v>0.97514159148942203</v>
      </c>
      <c r="L18">
        <v>0.97286784376671998</v>
      </c>
      <c r="M18">
        <v>0.94392866917399798</v>
      </c>
      <c r="N18">
        <v>0.994194756554307</v>
      </c>
      <c r="O18">
        <v>0.92307692307692302</v>
      </c>
      <c r="P18">
        <v>0.87755102040816302</v>
      </c>
      <c r="Q18">
        <v>0.96350364963503699</v>
      </c>
      <c r="R18">
        <v>0.93545392197562405</v>
      </c>
      <c r="S18">
        <v>0.90080556176951798</v>
      </c>
      <c r="T18">
        <v>0.96838900171350994</v>
      </c>
      <c r="U18">
        <v>0.96741522883186004</v>
      </c>
      <c r="V18">
        <v>0.93434129127391896</v>
      </c>
      <c r="W18">
        <v>0.99284254719984999</v>
      </c>
      <c r="X18">
        <v>0.53400000000000003</v>
      </c>
      <c r="Y18">
        <v>0.53400000000000003</v>
      </c>
      <c r="Z18">
        <v>0.53400000000000003</v>
      </c>
      <c r="AA18">
        <v>0.89940029509141795</v>
      </c>
      <c r="AB18">
        <v>0.847616340230541</v>
      </c>
      <c r="AC18">
        <v>0.94630657104150995</v>
      </c>
      <c r="AD18">
        <v>0.95288216637609002</v>
      </c>
      <c r="AE18">
        <v>0.92927434057234204</v>
      </c>
      <c r="AF18">
        <v>0.97434936556161</v>
      </c>
      <c r="AG18">
        <v>0.97097214325376702</v>
      </c>
      <c r="AH18">
        <v>0.93999734756235598</v>
      </c>
      <c r="AI18">
        <v>0.99375376618559097</v>
      </c>
      <c r="AJ18">
        <v>300</v>
      </c>
      <c r="AK18">
        <v>164</v>
      </c>
      <c r="AL18">
        <v>136</v>
      </c>
      <c r="AM18">
        <v>147</v>
      </c>
      <c r="AN18">
        <v>6</v>
      </c>
      <c r="AO18">
        <v>3</v>
      </c>
      <c r="AP18">
        <v>1</v>
      </c>
      <c r="AQ18">
        <v>0</v>
      </c>
      <c r="AR18">
        <v>11</v>
      </c>
      <c r="AS18">
        <v>0</v>
      </c>
      <c r="AT18">
        <v>132</v>
      </c>
      <c r="AU18">
        <v>155</v>
      </c>
      <c r="AV18">
        <v>1</v>
      </c>
      <c r="AW18">
        <v>11</v>
      </c>
      <c r="AX18">
        <v>133</v>
      </c>
      <c r="AY18">
        <v>0.91965720407070195</v>
      </c>
      <c r="AZ18">
        <v>0.87282434808853404</v>
      </c>
      <c r="BA18">
        <v>0.95989304812834197</v>
      </c>
      <c r="BB18">
        <v>679</v>
      </c>
      <c r="BC18">
        <v>1092.37666666667</v>
      </c>
      <c r="BD18">
        <v>157</v>
      </c>
      <c r="BE18">
        <v>143</v>
      </c>
      <c r="BF18">
        <v>0.93605390661341203</v>
      </c>
      <c r="BG18">
        <v>0.99301550456281196</v>
      </c>
      <c r="BH18">
        <v>0.86653250584605501</v>
      </c>
      <c r="BI18">
        <v>0.96097560422374995</v>
      </c>
      <c r="BJ18">
        <v>0.93605390661341203</v>
      </c>
      <c r="BK18">
        <v>0.86653250584605501</v>
      </c>
      <c r="BL18">
        <v>0.994194756554307</v>
      </c>
      <c r="BM18">
        <v>0.96350364963503699</v>
      </c>
      <c r="BN18">
        <v>1</v>
      </c>
      <c r="BO18" t="s">
        <v>84</v>
      </c>
      <c r="BP18" t="s">
        <v>127</v>
      </c>
      <c r="BQ18" t="s">
        <v>82</v>
      </c>
      <c r="BR18" t="s">
        <v>106</v>
      </c>
      <c r="BS18" t="s">
        <v>86</v>
      </c>
      <c r="BT18">
        <v>0.53400000000000003</v>
      </c>
      <c r="BU18" t="s">
        <v>132</v>
      </c>
      <c r="BV18" t="s">
        <v>133</v>
      </c>
      <c r="BW18">
        <v>0.97099999999999997</v>
      </c>
      <c r="BX18">
        <v>0.93500000000000005</v>
      </c>
      <c r="BY18">
        <v>0.96699999999999997</v>
      </c>
      <c r="BZ18">
        <v>0.95399999999999996</v>
      </c>
      <c r="CA18">
        <v>0.95299999999999996</v>
      </c>
      <c r="CB18">
        <v>0.89900000000000002</v>
      </c>
      <c r="CC18">
        <v>0.92</v>
      </c>
    </row>
    <row r="19" spans="1:81" x14ac:dyDescent="0.2">
      <c r="A19" t="s">
        <v>80</v>
      </c>
      <c r="B19" t="s">
        <v>126</v>
      </c>
      <c r="C19" t="s">
        <v>82</v>
      </c>
      <c r="D19" t="s">
        <v>108</v>
      </c>
      <c r="E19" t="s">
        <v>89</v>
      </c>
      <c r="F19">
        <v>503</v>
      </c>
      <c r="G19">
        <v>1000</v>
      </c>
      <c r="H19">
        <v>0.503</v>
      </c>
      <c r="I19">
        <v>0.93427296500847701</v>
      </c>
      <c r="J19">
        <v>0.90946677600931503</v>
      </c>
      <c r="K19">
        <v>0.95852319570225197</v>
      </c>
      <c r="L19">
        <v>0.98639455782312901</v>
      </c>
      <c r="M19">
        <v>0.96453900709219897</v>
      </c>
      <c r="N19">
        <v>1</v>
      </c>
      <c r="O19">
        <v>0.87330650570087198</v>
      </c>
      <c r="P19">
        <v>0.82014520738858598</v>
      </c>
      <c r="Q19">
        <v>0.92448757393988001</v>
      </c>
      <c r="R19">
        <v>0.88738318382404002</v>
      </c>
      <c r="S19">
        <v>0.84755672013572203</v>
      </c>
      <c r="T19">
        <v>0.92959572158881099</v>
      </c>
      <c r="U19">
        <v>0.984477440598436</v>
      </c>
      <c r="V19">
        <v>0.96039065068944096</v>
      </c>
      <c r="W19">
        <v>1</v>
      </c>
      <c r="X19">
        <v>0.503</v>
      </c>
      <c r="Y19">
        <v>0.503</v>
      </c>
      <c r="Z19">
        <v>0.503</v>
      </c>
      <c r="AA19">
        <v>0.86575949666215202</v>
      </c>
      <c r="AB19">
        <v>0.81338449240713195</v>
      </c>
      <c r="AC19">
        <v>0.91609397293505301</v>
      </c>
      <c r="AD19">
        <v>0.93488680586208595</v>
      </c>
      <c r="AE19">
        <v>0.91086116281828</v>
      </c>
      <c r="AF19">
        <v>0.95872796090033796</v>
      </c>
      <c r="AG19">
        <v>0.98776404147381003</v>
      </c>
      <c r="AH19">
        <v>0.96799048012651701</v>
      </c>
      <c r="AI19">
        <v>1</v>
      </c>
      <c r="AJ19">
        <v>300</v>
      </c>
      <c r="AK19">
        <v>164</v>
      </c>
      <c r="AL19">
        <v>136</v>
      </c>
      <c r="AM19">
        <v>145</v>
      </c>
      <c r="AN19">
        <v>0</v>
      </c>
      <c r="AO19">
        <v>2</v>
      </c>
      <c r="AP19">
        <v>0</v>
      </c>
      <c r="AQ19">
        <v>2</v>
      </c>
      <c r="AR19">
        <v>17</v>
      </c>
      <c r="AS19">
        <v>1</v>
      </c>
      <c r="AT19">
        <v>133</v>
      </c>
      <c r="AU19">
        <v>155</v>
      </c>
      <c r="AV19">
        <v>1</v>
      </c>
      <c r="AW19">
        <v>11</v>
      </c>
      <c r="AX19">
        <v>133</v>
      </c>
      <c r="AY19">
        <v>0.91965720407070195</v>
      </c>
      <c r="AZ19">
        <v>0.87302860197808096</v>
      </c>
      <c r="BA19">
        <v>0.959937814568117</v>
      </c>
      <c r="BB19">
        <v>679</v>
      </c>
      <c r="BC19">
        <v>1092.37666666667</v>
      </c>
      <c r="BD19">
        <v>147</v>
      </c>
      <c r="BE19">
        <v>153</v>
      </c>
      <c r="BF19">
        <v>0.95171816452049196</v>
      </c>
      <c r="BG19">
        <v>0.99834804991184301</v>
      </c>
      <c r="BH19">
        <v>0.81288173536616404</v>
      </c>
      <c r="BI19">
        <v>0.923550587015324</v>
      </c>
      <c r="BJ19">
        <v>0.95171816452049196</v>
      </c>
      <c r="BK19">
        <v>0.81288173536616404</v>
      </c>
      <c r="BL19">
        <v>1</v>
      </c>
      <c r="BM19">
        <v>0.92448757393988001</v>
      </c>
      <c r="BN19">
        <v>1</v>
      </c>
      <c r="BO19" t="s">
        <v>84</v>
      </c>
      <c r="BP19" t="s">
        <v>127</v>
      </c>
      <c r="BQ19" t="s">
        <v>82</v>
      </c>
      <c r="BR19" t="s">
        <v>108</v>
      </c>
      <c r="BS19" t="s">
        <v>86</v>
      </c>
      <c r="BT19">
        <v>0.503</v>
      </c>
      <c r="BU19" t="s">
        <v>134</v>
      </c>
      <c r="BV19" t="s">
        <v>135</v>
      </c>
      <c r="BW19">
        <v>0.98799999999999999</v>
      </c>
      <c r="BX19">
        <v>0.88700000000000001</v>
      </c>
      <c r="BY19">
        <v>0.98399999999999999</v>
      </c>
      <c r="BZ19">
        <v>0.93400000000000005</v>
      </c>
      <c r="CA19">
        <v>0.93500000000000005</v>
      </c>
      <c r="CB19">
        <v>0.86599999999999999</v>
      </c>
      <c r="CC19">
        <v>0.92</v>
      </c>
    </row>
    <row r="20" spans="1:81" x14ac:dyDescent="0.2">
      <c r="A20" t="s">
        <v>80</v>
      </c>
      <c r="B20" t="s">
        <v>126</v>
      </c>
      <c r="C20" t="s">
        <v>82</v>
      </c>
      <c r="D20" t="s">
        <v>120</v>
      </c>
      <c r="E20" t="s">
        <v>89</v>
      </c>
      <c r="F20" t="s">
        <v>93</v>
      </c>
      <c r="G20" t="s">
        <v>93</v>
      </c>
      <c r="H20">
        <v>0.53380000000000005</v>
      </c>
      <c r="I20">
        <v>0.97634434825021299</v>
      </c>
      <c r="J20">
        <v>0.95903613107866603</v>
      </c>
      <c r="K20">
        <v>0.99088553760740194</v>
      </c>
      <c r="L20">
        <v>1</v>
      </c>
      <c r="M20">
        <v>1</v>
      </c>
      <c r="N20">
        <v>1</v>
      </c>
      <c r="O20">
        <v>0.94451594451594501</v>
      </c>
      <c r="P20">
        <v>0.90290460761420299</v>
      </c>
      <c r="Q20">
        <v>0.97874634878261701</v>
      </c>
      <c r="R20">
        <v>0.95378201310303801</v>
      </c>
      <c r="S20">
        <v>0.92129627142301196</v>
      </c>
      <c r="T20">
        <v>0.98193572140278396</v>
      </c>
      <c r="U20">
        <v>1</v>
      </c>
      <c r="V20">
        <v>1</v>
      </c>
      <c r="W20">
        <v>1</v>
      </c>
      <c r="X20">
        <v>0.53380000000000005</v>
      </c>
      <c r="Y20">
        <v>0.51238724958974102</v>
      </c>
      <c r="Z20">
        <v>0.55662705750153796</v>
      </c>
      <c r="AA20">
        <v>0.94913767124076098</v>
      </c>
      <c r="AB20">
        <v>0.91186641024794401</v>
      </c>
      <c r="AC20">
        <v>0.98041135832096504</v>
      </c>
      <c r="AD20">
        <v>0.97634434825021299</v>
      </c>
      <c r="AE20">
        <v>0.95903613107866603</v>
      </c>
      <c r="AF20">
        <v>0.99088553760740194</v>
      </c>
      <c r="AG20">
        <v>1</v>
      </c>
      <c r="AH20">
        <v>1</v>
      </c>
      <c r="AI20">
        <v>1</v>
      </c>
      <c r="AJ20">
        <v>300</v>
      </c>
      <c r="AK20">
        <v>164</v>
      </c>
      <c r="AL20">
        <v>136</v>
      </c>
      <c r="AM20">
        <v>147</v>
      </c>
      <c r="AN20">
        <v>9</v>
      </c>
      <c r="AO20">
        <v>0</v>
      </c>
      <c r="AP20">
        <v>0</v>
      </c>
      <c r="AQ20">
        <v>0</v>
      </c>
      <c r="AR20">
        <v>8</v>
      </c>
      <c r="AS20">
        <v>3</v>
      </c>
      <c r="AT20">
        <v>133</v>
      </c>
      <c r="AU20">
        <v>155</v>
      </c>
      <c r="AV20">
        <v>1</v>
      </c>
      <c r="AW20">
        <v>11</v>
      </c>
      <c r="AX20">
        <v>133</v>
      </c>
      <c r="AY20">
        <v>0.91965720407070195</v>
      </c>
      <c r="AZ20">
        <v>0.87262000536336803</v>
      </c>
      <c r="BA20">
        <v>0.95995194233079695</v>
      </c>
      <c r="BB20">
        <v>679</v>
      </c>
      <c r="BC20">
        <v>1092.37666666667</v>
      </c>
      <c r="BD20">
        <v>156</v>
      </c>
      <c r="BE20">
        <v>144</v>
      </c>
      <c r="BF20">
        <v>0.97663072840861997</v>
      </c>
      <c r="BG20">
        <v>1</v>
      </c>
      <c r="BH20">
        <v>0.89346905666514997</v>
      </c>
      <c r="BI20">
        <v>0.97571283683012</v>
      </c>
      <c r="BJ20">
        <v>0.97663072840861997</v>
      </c>
      <c r="BK20">
        <v>0.89346905666514997</v>
      </c>
      <c r="BL20">
        <v>1</v>
      </c>
      <c r="BM20">
        <v>0.97874634878261701</v>
      </c>
      <c r="BN20">
        <v>1</v>
      </c>
      <c r="BO20" t="s">
        <v>84</v>
      </c>
      <c r="BP20" t="s">
        <v>127</v>
      </c>
      <c r="BQ20" t="s">
        <v>82</v>
      </c>
      <c r="BR20" t="s">
        <v>120</v>
      </c>
      <c r="BS20" t="s">
        <v>86</v>
      </c>
      <c r="BT20">
        <v>0.53400000000000003</v>
      </c>
      <c r="BU20" t="s">
        <v>88</v>
      </c>
      <c r="BV20" t="s">
        <v>136</v>
      </c>
      <c r="BW20">
        <v>1</v>
      </c>
      <c r="BX20">
        <v>0.95399999999999996</v>
      </c>
      <c r="BY20">
        <v>1</v>
      </c>
      <c r="BZ20">
        <v>0.97599999999999998</v>
      </c>
      <c r="CA20">
        <v>0.97599999999999998</v>
      </c>
      <c r="CB20">
        <v>0.94899999999999995</v>
      </c>
      <c r="CC20">
        <v>0.92</v>
      </c>
    </row>
    <row r="21" spans="1:81" x14ac:dyDescent="0.2">
      <c r="A21" t="s">
        <v>80</v>
      </c>
      <c r="B21" t="s">
        <v>126</v>
      </c>
      <c r="C21" t="s">
        <v>82</v>
      </c>
      <c r="D21" t="s">
        <v>123</v>
      </c>
      <c r="E21" t="s">
        <v>89</v>
      </c>
      <c r="F21" t="s">
        <v>93</v>
      </c>
      <c r="G21" t="s">
        <v>93</v>
      </c>
      <c r="H21">
        <v>0.56633333333333302</v>
      </c>
      <c r="I21">
        <v>0.98833629366488995</v>
      </c>
      <c r="J21">
        <v>0.97593937684425802</v>
      </c>
      <c r="K21">
        <v>0.99730401532554003</v>
      </c>
      <c r="L21">
        <v>0.982519128899353</v>
      </c>
      <c r="M21">
        <v>0.95994905006281295</v>
      </c>
      <c r="N21">
        <v>1</v>
      </c>
      <c r="O21">
        <v>0.99254419677171402</v>
      </c>
      <c r="P21">
        <v>0.97565388872979597</v>
      </c>
      <c r="Q21">
        <v>1</v>
      </c>
      <c r="R21">
        <v>0.99422275163787999</v>
      </c>
      <c r="S21">
        <v>0.98136812539815799</v>
      </c>
      <c r="T21">
        <v>1</v>
      </c>
      <c r="U21">
        <v>0.97751703255109801</v>
      </c>
      <c r="V21">
        <v>0.948967774415168</v>
      </c>
      <c r="W21">
        <v>1</v>
      </c>
      <c r="X21">
        <v>0.56633333333333302</v>
      </c>
      <c r="Y21">
        <v>0.54010645344158104</v>
      </c>
      <c r="Z21">
        <v>0.59370616652199704</v>
      </c>
      <c r="AA21">
        <v>0.97340013645889201</v>
      </c>
      <c r="AB21">
        <v>0.94561101921871604</v>
      </c>
      <c r="AC21">
        <v>0.99384374043554102</v>
      </c>
      <c r="AD21">
        <v>0.98575031717070205</v>
      </c>
      <c r="AE21">
        <v>0.96986932332398101</v>
      </c>
      <c r="AF21">
        <v>0.99716832238501896</v>
      </c>
      <c r="AG21">
        <v>0.977421061102693</v>
      </c>
      <c r="AH21">
        <v>0.94761189791493095</v>
      </c>
      <c r="AI21">
        <v>1</v>
      </c>
      <c r="AJ21">
        <v>300</v>
      </c>
      <c r="AK21">
        <v>164</v>
      </c>
      <c r="AL21">
        <v>136</v>
      </c>
      <c r="AM21">
        <v>147</v>
      </c>
      <c r="AN21">
        <v>16</v>
      </c>
      <c r="AO21">
        <v>1</v>
      </c>
      <c r="AP21">
        <v>2</v>
      </c>
      <c r="AQ21">
        <v>0</v>
      </c>
      <c r="AR21">
        <v>1</v>
      </c>
      <c r="AS21">
        <v>2</v>
      </c>
      <c r="AT21">
        <v>131</v>
      </c>
      <c r="AU21">
        <v>155</v>
      </c>
      <c r="AV21">
        <v>1</v>
      </c>
      <c r="AW21">
        <v>11</v>
      </c>
      <c r="AX21">
        <v>133</v>
      </c>
      <c r="AY21">
        <v>0.91965720407070195</v>
      </c>
      <c r="AZ21">
        <v>0.87281214537537599</v>
      </c>
      <c r="BA21">
        <v>0.95996263178967001</v>
      </c>
      <c r="BB21">
        <v>679</v>
      </c>
      <c r="BC21">
        <v>1092.37666666667</v>
      </c>
      <c r="BD21">
        <v>166</v>
      </c>
      <c r="BE21">
        <v>134</v>
      </c>
      <c r="BF21">
        <v>0.94809565251405004</v>
      </c>
      <c r="BG21">
        <v>0.99625743987371296</v>
      </c>
      <c r="BH21">
        <v>0.95912296246365703</v>
      </c>
      <c r="BI21">
        <v>0.99981107898226895</v>
      </c>
      <c r="BJ21">
        <v>0.94809565251405004</v>
      </c>
      <c r="BK21">
        <v>0.95912296246365703</v>
      </c>
      <c r="BL21">
        <v>1</v>
      </c>
      <c r="BM21">
        <v>1</v>
      </c>
      <c r="BN21">
        <v>1</v>
      </c>
      <c r="BO21" t="s">
        <v>84</v>
      </c>
      <c r="BP21" t="s">
        <v>127</v>
      </c>
      <c r="BQ21" t="s">
        <v>82</v>
      </c>
      <c r="BR21" t="s">
        <v>123</v>
      </c>
      <c r="BS21" t="s">
        <v>86</v>
      </c>
      <c r="BT21">
        <v>0.56599999999999995</v>
      </c>
      <c r="BU21" t="s">
        <v>137</v>
      </c>
      <c r="BV21" t="s">
        <v>138</v>
      </c>
      <c r="BW21">
        <v>0.97699999999999998</v>
      </c>
      <c r="BX21">
        <v>0.99399999999999999</v>
      </c>
      <c r="BY21">
        <v>0.97799999999999998</v>
      </c>
      <c r="BZ21">
        <v>0.98799999999999999</v>
      </c>
      <c r="CA21">
        <v>0.98599999999999999</v>
      </c>
      <c r="CB21">
        <v>0.97299999999999998</v>
      </c>
      <c r="CC21">
        <v>0.92</v>
      </c>
    </row>
    <row r="22" spans="1:81" x14ac:dyDescent="0.2">
      <c r="A22" t="s">
        <v>139</v>
      </c>
      <c r="B22" t="s">
        <v>81</v>
      </c>
      <c r="C22" t="s">
        <v>82</v>
      </c>
      <c r="D22" t="s">
        <v>83</v>
      </c>
      <c r="E22" t="s">
        <v>89</v>
      </c>
      <c r="F22">
        <v>428</v>
      </c>
      <c r="G22">
        <v>14379</v>
      </c>
      <c r="H22">
        <v>2.9765630433270698E-2</v>
      </c>
      <c r="I22">
        <v>0.85174936802498502</v>
      </c>
      <c r="J22">
        <v>0.71907765763240195</v>
      </c>
      <c r="K22">
        <v>0.96021980687310304</v>
      </c>
      <c r="L22">
        <v>0.75168361737218303</v>
      </c>
      <c r="M22">
        <v>0.56894102045971195</v>
      </c>
      <c r="N22">
        <v>0.93321176202416201</v>
      </c>
      <c r="O22">
        <v>0.99959040314570402</v>
      </c>
      <c r="P22">
        <v>0.99895738982542803</v>
      </c>
      <c r="Q22">
        <v>1</v>
      </c>
      <c r="R22">
        <v>0.98254832893833799</v>
      </c>
      <c r="S22">
        <v>0.95442211102357899</v>
      </c>
      <c r="T22">
        <v>1</v>
      </c>
      <c r="U22">
        <v>0.99243647160929604</v>
      </c>
      <c r="V22">
        <v>0.98694555311186405</v>
      </c>
      <c r="W22">
        <v>0.99795463584343702</v>
      </c>
      <c r="X22">
        <v>2.9765630433270698E-2</v>
      </c>
      <c r="Y22">
        <v>2.9765630433270698E-2</v>
      </c>
      <c r="Z22">
        <v>2.9765630433270698E-2</v>
      </c>
      <c r="AA22">
        <v>0.85585089300137496</v>
      </c>
      <c r="AB22">
        <v>0.73949068448615196</v>
      </c>
      <c r="AC22">
        <v>0.95952370744616999</v>
      </c>
      <c r="AD22">
        <v>0.98632975369425602</v>
      </c>
      <c r="AE22">
        <v>0.96820006600110897</v>
      </c>
      <c r="AF22">
        <v>0.99825212509752004</v>
      </c>
      <c r="AG22">
        <v>0.99014039720108105</v>
      </c>
      <c r="AH22">
        <v>0.977807636766437</v>
      </c>
      <c r="AI22">
        <v>0.99784501958386895</v>
      </c>
      <c r="AJ22">
        <v>300</v>
      </c>
      <c r="AK22">
        <v>121</v>
      </c>
      <c r="AL22">
        <v>179</v>
      </c>
      <c r="AM22">
        <v>118</v>
      </c>
      <c r="AN22">
        <v>1</v>
      </c>
      <c r="AO22">
        <v>18</v>
      </c>
      <c r="AP22">
        <v>1</v>
      </c>
      <c r="AQ22">
        <v>2</v>
      </c>
      <c r="AR22">
        <v>0</v>
      </c>
      <c r="AS22">
        <v>12</v>
      </c>
      <c r="AT22">
        <v>148</v>
      </c>
      <c r="AU22">
        <v>117</v>
      </c>
      <c r="AV22">
        <v>3</v>
      </c>
      <c r="AW22">
        <v>7</v>
      </c>
      <c r="AX22">
        <v>173</v>
      </c>
      <c r="AY22">
        <v>0.93093922651933703</v>
      </c>
      <c r="AZ22">
        <v>0.88554629147422803</v>
      </c>
      <c r="BA22">
        <v>0.97150469457650301</v>
      </c>
      <c r="BB22">
        <v>864.5</v>
      </c>
      <c r="BC22">
        <v>999.15</v>
      </c>
      <c r="BD22">
        <v>138</v>
      </c>
      <c r="BE22">
        <v>162</v>
      </c>
      <c r="BF22">
        <v>0.67309046843456999</v>
      </c>
      <c r="BG22">
        <v>0.82294830561827004</v>
      </c>
      <c r="BH22">
        <v>0.97748643854719497</v>
      </c>
      <c r="BI22">
        <v>1</v>
      </c>
      <c r="BJ22">
        <v>0.56894102045971195</v>
      </c>
      <c r="BK22">
        <v>0.97748643854719497</v>
      </c>
      <c r="BL22">
        <v>0.93321176202416201</v>
      </c>
      <c r="BM22">
        <v>1</v>
      </c>
      <c r="BN22">
        <v>4</v>
      </c>
      <c r="BO22" t="s">
        <v>140</v>
      </c>
      <c r="BP22" t="s">
        <v>85</v>
      </c>
      <c r="BQ22" t="s">
        <v>82</v>
      </c>
      <c r="BR22" t="s">
        <v>83</v>
      </c>
      <c r="BS22" t="s">
        <v>86</v>
      </c>
      <c r="BT22">
        <v>0.03</v>
      </c>
      <c r="BU22" t="s">
        <v>141</v>
      </c>
      <c r="BV22" t="s">
        <v>88</v>
      </c>
      <c r="BW22">
        <v>0.99</v>
      </c>
      <c r="BX22">
        <v>0.98299999999999998</v>
      </c>
      <c r="BY22">
        <v>0.99199999999999999</v>
      </c>
      <c r="BZ22">
        <v>0.85199999999999998</v>
      </c>
      <c r="CA22">
        <v>0.98599999999999999</v>
      </c>
      <c r="CB22">
        <v>0.85599999999999998</v>
      </c>
      <c r="CC22">
        <v>0.93100000000000005</v>
      </c>
    </row>
    <row r="23" spans="1:81" x14ac:dyDescent="0.2">
      <c r="A23" t="s">
        <v>139</v>
      </c>
      <c r="B23" t="s">
        <v>81</v>
      </c>
      <c r="C23" t="s">
        <v>82</v>
      </c>
      <c r="D23" t="s">
        <v>89</v>
      </c>
      <c r="E23" t="s">
        <v>89</v>
      </c>
      <c r="F23">
        <v>333</v>
      </c>
      <c r="G23">
        <v>14379</v>
      </c>
      <c r="H23">
        <v>2.3158773210932598E-2</v>
      </c>
      <c r="I23">
        <v>0.76878679441302</v>
      </c>
      <c r="J23">
        <v>0.58203378518235205</v>
      </c>
      <c r="K23">
        <v>0.91696750902527102</v>
      </c>
      <c r="L23">
        <v>0.8</v>
      </c>
      <c r="M23">
        <v>0.73287671232876705</v>
      </c>
      <c r="N23">
        <v>0.86163522012578597</v>
      </c>
      <c r="O23">
        <v>0.99333333333333296</v>
      </c>
      <c r="P23">
        <v>0.97872340425531901</v>
      </c>
      <c r="Q23">
        <v>1</v>
      </c>
      <c r="R23">
        <v>0.73991778691256405</v>
      </c>
      <c r="S23">
        <v>0.467163528456843</v>
      </c>
      <c r="T23">
        <v>1</v>
      </c>
      <c r="U23">
        <v>0.99524929096024195</v>
      </c>
      <c r="V23">
        <v>0.99365511936830397</v>
      </c>
      <c r="W23">
        <v>0.99670712106372406</v>
      </c>
      <c r="X23">
        <v>2.3158773210932598E-2</v>
      </c>
      <c r="Y23">
        <v>2.3158773210932598E-2</v>
      </c>
      <c r="Z23">
        <v>2.3158773210932598E-2</v>
      </c>
      <c r="AA23">
        <v>0.76369663377925101</v>
      </c>
      <c r="AB23">
        <v>0.58883537412189901</v>
      </c>
      <c r="AC23">
        <v>0.91847700736184301</v>
      </c>
      <c r="AD23">
        <v>0.848937166177133</v>
      </c>
      <c r="AE23">
        <v>0.63615102351874897</v>
      </c>
      <c r="AF23">
        <v>0.99785782790630195</v>
      </c>
      <c r="AG23">
        <v>0.995633689372183</v>
      </c>
      <c r="AH23">
        <v>0.99209229853080005</v>
      </c>
      <c r="AI23">
        <v>0.99767027233491101</v>
      </c>
      <c r="AJ23">
        <v>300</v>
      </c>
      <c r="AK23">
        <v>121</v>
      </c>
      <c r="AL23">
        <v>179</v>
      </c>
      <c r="AM23">
        <v>120</v>
      </c>
      <c r="AN23">
        <v>0</v>
      </c>
      <c r="AO23">
        <v>30</v>
      </c>
      <c r="AP23">
        <v>0</v>
      </c>
      <c r="AQ23">
        <v>0</v>
      </c>
      <c r="AR23">
        <v>1</v>
      </c>
      <c r="AS23">
        <v>0</v>
      </c>
      <c r="AT23">
        <v>149</v>
      </c>
      <c r="AU23">
        <v>117</v>
      </c>
      <c r="AV23">
        <v>3</v>
      </c>
      <c r="AW23">
        <v>7</v>
      </c>
      <c r="AX23">
        <v>173</v>
      </c>
      <c r="AY23">
        <v>0.93093922651933703</v>
      </c>
      <c r="AZ23">
        <v>0.88513513513513498</v>
      </c>
      <c r="BA23">
        <v>0.97160573138157003</v>
      </c>
      <c r="BB23">
        <v>864.5</v>
      </c>
      <c r="BC23">
        <v>999.15</v>
      </c>
      <c r="BD23">
        <v>150</v>
      </c>
      <c r="BE23">
        <v>150</v>
      </c>
      <c r="BF23">
        <v>0.72696378220907298</v>
      </c>
      <c r="BG23">
        <v>0.86080600077634195</v>
      </c>
      <c r="BH23">
        <v>0.96341683225941999</v>
      </c>
      <c r="BI23">
        <v>0.99983122885689002</v>
      </c>
      <c r="BJ23">
        <v>0.72696378220907298</v>
      </c>
      <c r="BK23">
        <v>0.96341683225941999</v>
      </c>
      <c r="BL23">
        <v>0.86163522012578597</v>
      </c>
      <c r="BM23">
        <v>1</v>
      </c>
      <c r="BN23">
        <v>4</v>
      </c>
      <c r="BO23" t="s">
        <v>140</v>
      </c>
      <c r="BP23" t="s">
        <v>85</v>
      </c>
      <c r="BQ23" t="s">
        <v>82</v>
      </c>
      <c r="BR23" t="s">
        <v>89</v>
      </c>
      <c r="BS23" t="s">
        <v>86</v>
      </c>
      <c r="BT23">
        <v>2.3E-2</v>
      </c>
      <c r="BU23" t="s">
        <v>142</v>
      </c>
      <c r="BV23" t="s">
        <v>138</v>
      </c>
      <c r="BW23">
        <v>0.996</v>
      </c>
      <c r="BX23">
        <v>0.74</v>
      </c>
      <c r="BY23">
        <v>0.995</v>
      </c>
      <c r="BZ23">
        <v>0.76900000000000002</v>
      </c>
      <c r="CA23">
        <v>0.84899999999999998</v>
      </c>
      <c r="CB23">
        <v>0.76400000000000001</v>
      </c>
      <c r="CC23">
        <v>0.93100000000000005</v>
      </c>
    </row>
    <row r="24" spans="1:81" x14ac:dyDescent="0.2">
      <c r="A24" t="s">
        <v>139</v>
      </c>
      <c r="B24" t="s">
        <v>81</v>
      </c>
      <c r="C24" t="s">
        <v>82</v>
      </c>
      <c r="D24" t="s">
        <v>92</v>
      </c>
      <c r="E24" t="s">
        <v>89</v>
      </c>
      <c r="F24" t="s">
        <v>93</v>
      </c>
      <c r="G24" t="s">
        <v>93</v>
      </c>
      <c r="H24">
        <v>1.8990194032964699E-2</v>
      </c>
      <c r="I24">
        <v>0.77845522034433601</v>
      </c>
      <c r="J24">
        <v>0.57554813109453695</v>
      </c>
      <c r="K24">
        <v>0.94017094017093905</v>
      </c>
      <c r="L24">
        <v>0.90243902439024404</v>
      </c>
      <c r="M24">
        <v>0.84615384615384603</v>
      </c>
      <c r="N24">
        <v>0.95161290322580605</v>
      </c>
      <c r="O24">
        <v>0.99194523725465999</v>
      </c>
      <c r="P24">
        <v>0.97716796387018201</v>
      </c>
      <c r="Q24">
        <v>0.99921851277995899</v>
      </c>
      <c r="R24">
        <v>0.68442395289411995</v>
      </c>
      <c r="S24">
        <v>0.424576302626611</v>
      </c>
      <c r="T24">
        <v>0.95834194214876001</v>
      </c>
      <c r="U24">
        <v>0.998099716384097</v>
      </c>
      <c r="V24">
        <v>0.99699711447627204</v>
      </c>
      <c r="W24">
        <v>0.99905527252064397</v>
      </c>
      <c r="X24">
        <v>1.8990194032964699E-2</v>
      </c>
      <c r="Y24">
        <v>1.7517533582628499E-2</v>
      </c>
      <c r="Z24">
        <v>2.0346636463890799E-2</v>
      </c>
      <c r="AA24">
        <v>0.78130559194374705</v>
      </c>
      <c r="AB24">
        <v>0.60595392965409101</v>
      </c>
      <c r="AC24">
        <v>0.93909016721681704</v>
      </c>
      <c r="AD24">
        <v>0.81217778639974603</v>
      </c>
      <c r="AE24">
        <v>0.59585807516671296</v>
      </c>
      <c r="AF24">
        <v>0.97786527981368299</v>
      </c>
      <c r="AG24">
        <v>0.99856973036588004</v>
      </c>
      <c r="AH24">
        <v>0.99710955887572605</v>
      </c>
      <c r="AI24">
        <v>0.99940303066424796</v>
      </c>
      <c r="AJ24">
        <v>300</v>
      </c>
      <c r="AK24">
        <v>121</v>
      </c>
      <c r="AL24">
        <v>179</v>
      </c>
      <c r="AM24">
        <v>111</v>
      </c>
      <c r="AN24">
        <v>0</v>
      </c>
      <c r="AO24">
        <v>12</v>
      </c>
      <c r="AP24">
        <v>0</v>
      </c>
      <c r="AQ24">
        <v>9</v>
      </c>
      <c r="AR24">
        <v>1</v>
      </c>
      <c r="AS24">
        <v>18</v>
      </c>
      <c r="AT24">
        <v>149</v>
      </c>
      <c r="AU24">
        <v>117</v>
      </c>
      <c r="AV24">
        <v>3</v>
      </c>
      <c r="AW24">
        <v>7</v>
      </c>
      <c r="AX24">
        <v>173</v>
      </c>
      <c r="AY24">
        <v>0.93093922651933703</v>
      </c>
      <c r="AZ24">
        <v>0.88472066340412503</v>
      </c>
      <c r="BA24">
        <v>0.97140133460438505</v>
      </c>
      <c r="BB24">
        <v>864.5</v>
      </c>
      <c r="BC24">
        <v>999.15</v>
      </c>
      <c r="BD24">
        <v>123</v>
      </c>
      <c r="BE24">
        <v>177</v>
      </c>
      <c r="BF24">
        <v>0.83578145654946501</v>
      </c>
      <c r="BG24">
        <v>0.94856541020872198</v>
      </c>
      <c r="BH24">
        <v>0.96892531286817896</v>
      </c>
      <c r="BI24">
        <v>0.99985697176632504</v>
      </c>
      <c r="BJ24">
        <v>0.83578145654946501</v>
      </c>
      <c r="BK24">
        <v>0.96892531286817896</v>
      </c>
      <c r="BL24">
        <v>0.95161290322580605</v>
      </c>
      <c r="BM24">
        <v>0.99985697176632504</v>
      </c>
      <c r="BN24">
        <v>4</v>
      </c>
      <c r="BO24" t="s">
        <v>140</v>
      </c>
      <c r="BP24" t="s">
        <v>85</v>
      </c>
      <c r="BQ24" t="s">
        <v>82</v>
      </c>
      <c r="BR24" t="s">
        <v>92</v>
      </c>
      <c r="BS24" t="s">
        <v>86</v>
      </c>
      <c r="BT24">
        <v>1.9E-2</v>
      </c>
      <c r="BU24" t="s">
        <v>143</v>
      </c>
      <c r="BV24" t="s">
        <v>144</v>
      </c>
      <c r="BW24">
        <v>0.999</v>
      </c>
      <c r="BX24">
        <v>0.68400000000000005</v>
      </c>
      <c r="BY24">
        <v>0.998</v>
      </c>
      <c r="BZ24">
        <v>0.77800000000000002</v>
      </c>
      <c r="CA24">
        <v>0.81200000000000006</v>
      </c>
      <c r="CB24">
        <v>0.78100000000000003</v>
      </c>
      <c r="CC24">
        <v>0.93100000000000005</v>
      </c>
    </row>
    <row r="25" spans="1:81" x14ac:dyDescent="0.2">
      <c r="A25" t="s">
        <v>139</v>
      </c>
      <c r="B25" t="s">
        <v>81</v>
      </c>
      <c r="C25" t="s">
        <v>82</v>
      </c>
      <c r="D25" t="s">
        <v>96</v>
      </c>
      <c r="E25" t="s">
        <v>89</v>
      </c>
      <c r="F25" t="s">
        <v>93</v>
      </c>
      <c r="G25" t="s">
        <v>93</v>
      </c>
      <c r="H25">
        <v>1.8835802211558499E-2</v>
      </c>
      <c r="I25">
        <v>0.77415673345168501</v>
      </c>
      <c r="J25">
        <v>0.57079748903670902</v>
      </c>
      <c r="K25">
        <v>0.93650793650793696</v>
      </c>
      <c r="L25">
        <v>0.90163934426229497</v>
      </c>
      <c r="M25">
        <v>0.84670129140932004</v>
      </c>
      <c r="N25">
        <v>0.95161290322580605</v>
      </c>
      <c r="O25">
        <v>0.99178914897477799</v>
      </c>
      <c r="P25">
        <v>0.97674946641659599</v>
      </c>
      <c r="Q25">
        <v>0.99909792250894702</v>
      </c>
      <c r="R25">
        <v>0.678257971336517</v>
      </c>
      <c r="S25">
        <v>0.419886568558411</v>
      </c>
      <c r="T25">
        <v>0.95238095238095</v>
      </c>
      <c r="U25">
        <v>0.998099716384097</v>
      </c>
      <c r="V25">
        <v>0.99701372642124197</v>
      </c>
      <c r="W25">
        <v>0.99907218583706603</v>
      </c>
      <c r="X25">
        <v>1.8835802211558499E-2</v>
      </c>
      <c r="Y25">
        <v>1.7332666742773499E-2</v>
      </c>
      <c r="Z25">
        <v>2.0227282931067701E-2</v>
      </c>
      <c r="AA25">
        <v>0.77735270619554597</v>
      </c>
      <c r="AB25">
        <v>0.60225697748893303</v>
      </c>
      <c r="AC25">
        <v>0.93544485936946498</v>
      </c>
      <c r="AD25">
        <v>0.80782435267401098</v>
      </c>
      <c r="AE25">
        <v>0.591295838345965</v>
      </c>
      <c r="AF25">
        <v>0.97467974769273302</v>
      </c>
      <c r="AG25">
        <v>0.99858156499516604</v>
      </c>
      <c r="AH25">
        <v>0.997107314569877</v>
      </c>
      <c r="AI25">
        <v>0.99941827916702197</v>
      </c>
      <c r="AJ25">
        <v>300</v>
      </c>
      <c r="AK25">
        <v>121</v>
      </c>
      <c r="AL25">
        <v>179</v>
      </c>
      <c r="AM25">
        <v>110</v>
      </c>
      <c r="AN25">
        <v>0</v>
      </c>
      <c r="AO25">
        <v>12</v>
      </c>
      <c r="AP25">
        <v>0</v>
      </c>
      <c r="AQ25">
        <v>10</v>
      </c>
      <c r="AR25">
        <v>1</v>
      </c>
      <c r="AS25">
        <v>18</v>
      </c>
      <c r="AT25">
        <v>149</v>
      </c>
      <c r="AU25">
        <v>117</v>
      </c>
      <c r="AV25">
        <v>3</v>
      </c>
      <c r="AW25">
        <v>7</v>
      </c>
      <c r="AX25">
        <v>173</v>
      </c>
      <c r="AY25">
        <v>0.93093922651933703</v>
      </c>
      <c r="AZ25">
        <v>0.88430127041742301</v>
      </c>
      <c r="BA25">
        <v>0.97151239825856495</v>
      </c>
      <c r="BB25">
        <v>864.5</v>
      </c>
      <c r="BC25">
        <v>999.15</v>
      </c>
      <c r="BD25">
        <v>122</v>
      </c>
      <c r="BE25">
        <v>178</v>
      </c>
      <c r="BF25">
        <v>0.83448661316220996</v>
      </c>
      <c r="BG25">
        <v>0.94813500703248899</v>
      </c>
      <c r="BH25">
        <v>0.96909765204735598</v>
      </c>
      <c r="BI25">
        <v>0.99985777523858399</v>
      </c>
      <c r="BJ25">
        <v>0.83448661316220996</v>
      </c>
      <c r="BK25">
        <v>0.96909765204735598</v>
      </c>
      <c r="BL25">
        <v>0.95161290322580605</v>
      </c>
      <c r="BM25">
        <v>0.99985777523858399</v>
      </c>
      <c r="BN25">
        <v>4</v>
      </c>
      <c r="BO25" t="s">
        <v>140</v>
      </c>
      <c r="BP25" t="s">
        <v>85</v>
      </c>
      <c r="BQ25" t="s">
        <v>82</v>
      </c>
      <c r="BR25" t="s">
        <v>96</v>
      </c>
      <c r="BS25" t="s">
        <v>86</v>
      </c>
      <c r="BT25">
        <v>1.9E-2</v>
      </c>
      <c r="BU25" t="s">
        <v>145</v>
      </c>
      <c r="BV25" t="s">
        <v>144</v>
      </c>
      <c r="BW25">
        <v>0.999</v>
      </c>
      <c r="BX25">
        <v>0.67800000000000005</v>
      </c>
      <c r="BY25">
        <v>0.998</v>
      </c>
      <c r="BZ25">
        <v>0.77400000000000002</v>
      </c>
      <c r="CA25">
        <v>0.80800000000000005</v>
      </c>
      <c r="CB25">
        <v>0.77700000000000002</v>
      </c>
      <c r="CC25">
        <v>0.93100000000000005</v>
      </c>
    </row>
    <row r="26" spans="1:81" x14ac:dyDescent="0.2">
      <c r="A26" t="s">
        <v>139</v>
      </c>
      <c r="B26" t="s">
        <v>81</v>
      </c>
      <c r="C26" t="s">
        <v>82</v>
      </c>
      <c r="D26" t="s">
        <v>99</v>
      </c>
      <c r="E26" t="s">
        <v>89</v>
      </c>
      <c r="F26" t="s">
        <v>93</v>
      </c>
      <c r="G26" t="s">
        <v>93</v>
      </c>
      <c r="H26">
        <v>1.9393119030293199E-2</v>
      </c>
      <c r="I26">
        <v>0.77207595627094805</v>
      </c>
      <c r="J26">
        <v>0.55192589413566595</v>
      </c>
      <c r="K26">
        <v>0.95192307692307399</v>
      </c>
      <c r="L26">
        <v>0.90291262135922301</v>
      </c>
      <c r="M26">
        <v>0.84313725490196101</v>
      </c>
      <c r="N26">
        <v>0.956989247311828</v>
      </c>
      <c r="O26">
        <v>0.99137720018873299</v>
      </c>
      <c r="P26">
        <v>0.97389053695680206</v>
      </c>
      <c r="Q26">
        <v>0.99961591547614603</v>
      </c>
      <c r="R26">
        <v>0.67435802346300899</v>
      </c>
      <c r="S26">
        <v>0.40125212257017501</v>
      </c>
      <c r="T26">
        <v>0.97938144329897203</v>
      </c>
      <c r="U26">
        <v>0.998066980375792</v>
      </c>
      <c r="V26">
        <v>0.99687721755083503</v>
      </c>
      <c r="W26">
        <v>0.99915440483076401</v>
      </c>
      <c r="X26">
        <v>1.9393119030293199E-2</v>
      </c>
      <c r="Y26">
        <v>1.77859378259962E-2</v>
      </c>
      <c r="Z26">
        <v>2.0825392165900802E-2</v>
      </c>
      <c r="AA26">
        <v>0.77546298215155696</v>
      </c>
      <c r="AB26">
        <v>0.58571630441591604</v>
      </c>
      <c r="AC26">
        <v>0.95128613083045999</v>
      </c>
      <c r="AD26">
        <v>0.80504736953504197</v>
      </c>
      <c r="AE26">
        <v>0.57257766585012404</v>
      </c>
      <c r="AF26">
        <v>0.988575032049129</v>
      </c>
      <c r="AG26">
        <v>0.99856801668073503</v>
      </c>
      <c r="AH26">
        <v>0.99688437180560896</v>
      </c>
      <c r="AI26">
        <v>0.999459930525056</v>
      </c>
      <c r="AJ26">
        <v>253</v>
      </c>
      <c r="AK26">
        <v>99</v>
      </c>
      <c r="AL26">
        <v>154</v>
      </c>
      <c r="AM26">
        <v>93</v>
      </c>
      <c r="AN26">
        <v>0</v>
      </c>
      <c r="AO26">
        <v>10</v>
      </c>
      <c r="AP26">
        <v>0</v>
      </c>
      <c r="AQ26">
        <v>5</v>
      </c>
      <c r="AR26">
        <v>1</v>
      </c>
      <c r="AS26">
        <v>15</v>
      </c>
      <c r="AT26">
        <v>129</v>
      </c>
      <c r="AU26">
        <v>99</v>
      </c>
      <c r="AV26">
        <v>2</v>
      </c>
      <c r="AW26">
        <v>6</v>
      </c>
      <c r="AX26">
        <v>146</v>
      </c>
      <c r="AY26">
        <v>0.93451533583538204</v>
      </c>
      <c r="AZ26">
        <v>0.88610108419643396</v>
      </c>
      <c r="BA26">
        <v>0.97540266390122199</v>
      </c>
      <c r="BB26">
        <v>5088</v>
      </c>
      <c r="BC26">
        <v>5253.1343873517799</v>
      </c>
      <c r="BD26">
        <v>103</v>
      </c>
      <c r="BE26">
        <v>150</v>
      </c>
      <c r="BF26">
        <v>0.82869371964565197</v>
      </c>
      <c r="BG26">
        <v>0.95245358156078797</v>
      </c>
      <c r="BH26">
        <v>0.96341683225941999</v>
      </c>
      <c r="BI26">
        <v>0.99983122885689002</v>
      </c>
      <c r="BJ26">
        <v>0.82869371964565197</v>
      </c>
      <c r="BK26">
        <v>0.96341683225941999</v>
      </c>
      <c r="BL26">
        <v>0.956989247311828</v>
      </c>
      <c r="BM26">
        <v>0.99983122885689002</v>
      </c>
      <c r="BN26">
        <v>4</v>
      </c>
      <c r="BO26" t="s">
        <v>140</v>
      </c>
      <c r="BP26" t="s">
        <v>85</v>
      </c>
      <c r="BQ26" t="s">
        <v>82</v>
      </c>
      <c r="BR26" t="s">
        <v>99</v>
      </c>
      <c r="BS26" t="s">
        <v>100</v>
      </c>
      <c r="BT26">
        <v>1.9E-2</v>
      </c>
      <c r="BU26" t="s">
        <v>146</v>
      </c>
      <c r="BV26" t="s">
        <v>147</v>
      </c>
      <c r="BW26">
        <v>0.999</v>
      </c>
      <c r="BX26">
        <v>0.67400000000000004</v>
      </c>
      <c r="BY26">
        <v>0.998</v>
      </c>
      <c r="BZ26">
        <v>0.77200000000000002</v>
      </c>
      <c r="CA26">
        <v>0.80500000000000005</v>
      </c>
      <c r="CB26">
        <v>0.77500000000000002</v>
      </c>
      <c r="CC26">
        <v>0.93500000000000005</v>
      </c>
    </row>
    <row r="27" spans="1:81" x14ac:dyDescent="0.2">
      <c r="A27" t="s">
        <v>139</v>
      </c>
      <c r="B27" t="s">
        <v>81</v>
      </c>
      <c r="C27" t="s">
        <v>82</v>
      </c>
      <c r="D27" t="s">
        <v>103</v>
      </c>
      <c r="E27" t="s">
        <v>89</v>
      </c>
      <c r="F27" t="s">
        <v>93</v>
      </c>
      <c r="G27" t="s">
        <v>93</v>
      </c>
      <c r="H27">
        <v>2.84135439855418E-2</v>
      </c>
      <c r="I27">
        <v>0.66477878858116901</v>
      </c>
      <c r="J27">
        <v>0.45984242017926902</v>
      </c>
      <c r="K27">
        <v>0.93617021276595602</v>
      </c>
      <c r="L27">
        <v>0.63614521568541005</v>
      </c>
      <c r="M27">
        <v>0.39291778848909897</v>
      </c>
      <c r="N27">
        <v>0.91304347826086996</v>
      </c>
      <c r="O27">
        <v>0.99187851101442304</v>
      </c>
      <c r="P27">
        <v>0.97449905805816694</v>
      </c>
      <c r="Q27">
        <v>1</v>
      </c>
      <c r="R27">
        <v>0.69611150809084998</v>
      </c>
      <c r="S27">
        <v>0.41747362354560902</v>
      </c>
      <c r="T27">
        <v>1</v>
      </c>
      <c r="U27">
        <v>0.98938599419981599</v>
      </c>
      <c r="V27">
        <v>0.97212332842779703</v>
      </c>
      <c r="W27">
        <v>0.99813991535357405</v>
      </c>
      <c r="X27">
        <v>2.84135439855418E-2</v>
      </c>
      <c r="Y27">
        <v>1.99644596645971E-2</v>
      </c>
      <c r="Z27">
        <v>4.5140852405736197E-2</v>
      </c>
      <c r="AA27">
        <v>0.65613161487007399</v>
      </c>
      <c r="AB27">
        <v>0.44738167604267198</v>
      </c>
      <c r="AC27">
        <v>0.93597920946304902</v>
      </c>
      <c r="AD27">
        <v>0.81692830620676804</v>
      </c>
      <c r="AE27">
        <v>0.588003597669703</v>
      </c>
      <c r="AF27">
        <v>0.99370873007882199</v>
      </c>
      <c r="AG27">
        <v>0.98849022140404597</v>
      </c>
      <c r="AH27">
        <v>0.94144093534202999</v>
      </c>
      <c r="AI27">
        <v>0.99873149601153399</v>
      </c>
      <c r="AJ27">
        <v>253</v>
      </c>
      <c r="AK27">
        <v>99</v>
      </c>
      <c r="AL27">
        <v>154</v>
      </c>
      <c r="AM27">
        <v>96</v>
      </c>
      <c r="AN27">
        <v>0</v>
      </c>
      <c r="AO27">
        <v>15</v>
      </c>
      <c r="AP27">
        <v>1</v>
      </c>
      <c r="AQ27">
        <v>2</v>
      </c>
      <c r="AR27">
        <v>1</v>
      </c>
      <c r="AS27">
        <v>10</v>
      </c>
      <c r="AT27">
        <v>128</v>
      </c>
      <c r="AU27">
        <v>99</v>
      </c>
      <c r="AV27">
        <v>2</v>
      </c>
      <c r="AW27">
        <v>6</v>
      </c>
      <c r="AX27">
        <v>146</v>
      </c>
      <c r="AY27">
        <v>0.93451533583538204</v>
      </c>
      <c r="AZ27">
        <v>0.88610200012862606</v>
      </c>
      <c r="BA27">
        <v>0.97554846815502105</v>
      </c>
      <c r="BB27">
        <v>5088</v>
      </c>
      <c r="BC27">
        <v>5253.1343873517799</v>
      </c>
      <c r="BD27">
        <v>112</v>
      </c>
      <c r="BE27">
        <v>141</v>
      </c>
      <c r="BF27">
        <v>0.53764474926112005</v>
      </c>
      <c r="BG27">
        <v>0.72294095723976604</v>
      </c>
      <c r="BH27">
        <v>0.96111948632850797</v>
      </c>
      <c r="BI27">
        <v>0.99982045719786405</v>
      </c>
      <c r="BJ27">
        <v>0.39291778848909897</v>
      </c>
      <c r="BK27">
        <v>0.96111948632850797</v>
      </c>
      <c r="BL27">
        <v>0.91304347826086996</v>
      </c>
      <c r="BM27">
        <v>1</v>
      </c>
      <c r="BN27">
        <v>4</v>
      </c>
      <c r="BO27" t="s">
        <v>140</v>
      </c>
      <c r="BP27" t="s">
        <v>85</v>
      </c>
      <c r="BQ27" t="s">
        <v>82</v>
      </c>
      <c r="BR27" t="s">
        <v>103</v>
      </c>
      <c r="BS27" t="s">
        <v>100</v>
      </c>
      <c r="BT27">
        <v>2.8000000000000001E-2</v>
      </c>
      <c r="BU27" t="s">
        <v>148</v>
      </c>
      <c r="BV27" t="s">
        <v>149</v>
      </c>
      <c r="BW27">
        <v>0.98799999999999999</v>
      </c>
      <c r="BX27">
        <v>0.69599999999999995</v>
      </c>
      <c r="BY27">
        <v>0.98899999999999999</v>
      </c>
      <c r="BZ27">
        <v>0.66500000000000004</v>
      </c>
      <c r="CA27">
        <v>0.81699999999999995</v>
      </c>
      <c r="CB27">
        <v>0.65600000000000003</v>
      </c>
      <c r="CC27">
        <v>0.93500000000000005</v>
      </c>
    </row>
    <row r="28" spans="1:81" x14ac:dyDescent="0.2">
      <c r="A28" t="s">
        <v>139</v>
      </c>
      <c r="B28" t="s">
        <v>81</v>
      </c>
      <c r="C28" t="s">
        <v>82</v>
      </c>
      <c r="D28" t="s">
        <v>106</v>
      </c>
      <c r="E28" t="s">
        <v>89</v>
      </c>
      <c r="F28">
        <v>468</v>
      </c>
      <c r="G28">
        <v>14379</v>
      </c>
      <c r="H28">
        <v>3.25474650532026E-2</v>
      </c>
      <c r="I28">
        <v>0.81503987846562898</v>
      </c>
      <c r="J28">
        <v>0.64402038165650899</v>
      </c>
      <c r="K28">
        <v>0.94698251107317299</v>
      </c>
      <c r="L28">
        <v>0.68782051282051304</v>
      </c>
      <c r="M28">
        <v>0.47494842322428499</v>
      </c>
      <c r="N28">
        <v>0.89930368776522596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0.98960667563010896</v>
      </c>
      <c r="V28">
        <v>0.98264258485671496</v>
      </c>
      <c r="W28">
        <v>0.99662376779297901</v>
      </c>
      <c r="X28">
        <v>3.25474650532026E-2</v>
      </c>
      <c r="Y28">
        <v>3.25474650532026E-2</v>
      </c>
      <c r="Z28">
        <v>3.25474650532026E-2</v>
      </c>
      <c r="AA28">
        <v>0.82502834564789596</v>
      </c>
      <c r="AB28">
        <v>0.68315777553265999</v>
      </c>
      <c r="AC28">
        <v>0.94671401684495005</v>
      </c>
      <c r="AD28">
        <v>0.99242323755900796</v>
      </c>
      <c r="AE28">
        <v>0.98174376673663799</v>
      </c>
      <c r="AF28">
        <v>0.99812004490487605</v>
      </c>
      <c r="AG28">
        <v>0.98496042639444004</v>
      </c>
      <c r="AH28">
        <v>0.96414216251865503</v>
      </c>
      <c r="AI28">
        <v>0.996247145008615</v>
      </c>
      <c r="AJ28">
        <v>300</v>
      </c>
      <c r="AK28">
        <v>121</v>
      </c>
      <c r="AL28">
        <v>179</v>
      </c>
      <c r="AM28">
        <v>120</v>
      </c>
      <c r="AN28">
        <v>1</v>
      </c>
      <c r="AO28">
        <v>30</v>
      </c>
      <c r="AP28">
        <v>1</v>
      </c>
      <c r="AQ28">
        <v>0</v>
      </c>
      <c r="AR28">
        <v>0</v>
      </c>
      <c r="AS28">
        <v>0</v>
      </c>
      <c r="AT28">
        <v>148</v>
      </c>
      <c r="AU28">
        <v>117</v>
      </c>
      <c r="AV28">
        <v>3</v>
      </c>
      <c r="AW28">
        <v>7</v>
      </c>
      <c r="AX28">
        <v>173</v>
      </c>
      <c r="AY28">
        <v>0.93093922651933703</v>
      </c>
      <c r="AZ28">
        <v>0.88513461763259005</v>
      </c>
      <c r="BA28">
        <v>0.97129323955791602</v>
      </c>
      <c r="BB28">
        <v>864.5</v>
      </c>
      <c r="BC28">
        <v>999.15</v>
      </c>
      <c r="BD28">
        <v>152</v>
      </c>
      <c r="BE28">
        <v>148</v>
      </c>
      <c r="BF28">
        <v>0.61081271451733599</v>
      </c>
      <c r="BG28">
        <v>0.76315427919252699</v>
      </c>
      <c r="BH28">
        <v>0.97538319842101595</v>
      </c>
      <c r="BI28">
        <v>1</v>
      </c>
      <c r="BJ28">
        <v>0.47494842322428499</v>
      </c>
      <c r="BK28">
        <v>0.97538319842101595</v>
      </c>
      <c r="BL28">
        <v>0.89930368776522596</v>
      </c>
      <c r="BM28">
        <v>1</v>
      </c>
      <c r="BN28">
        <v>4</v>
      </c>
      <c r="BO28" t="s">
        <v>140</v>
      </c>
      <c r="BP28" t="s">
        <v>85</v>
      </c>
      <c r="BQ28" t="s">
        <v>82</v>
      </c>
      <c r="BR28" t="s">
        <v>106</v>
      </c>
      <c r="BS28" t="s">
        <v>86</v>
      </c>
      <c r="BT28">
        <v>3.3000000000000002E-2</v>
      </c>
      <c r="BU28" t="s">
        <v>150</v>
      </c>
      <c r="BV28" t="s">
        <v>88</v>
      </c>
      <c r="BW28">
        <v>0.98499999999999999</v>
      </c>
      <c r="BX28">
        <v>1</v>
      </c>
      <c r="BY28">
        <v>0.99</v>
      </c>
      <c r="BZ28">
        <v>0.81499999999999995</v>
      </c>
      <c r="CA28">
        <v>0.99199999999999999</v>
      </c>
      <c r="CB28">
        <v>0.82499999999999996</v>
      </c>
      <c r="CC28">
        <v>0.93100000000000005</v>
      </c>
    </row>
    <row r="29" spans="1:81" x14ac:dyDescent="0.2">
      <c r="A29" t="s">
        <v>139</v>
      </c>
      <c r="B29" t="s">
        <v>81</v>
      </c>
      <c r="C29" t="s">
        <v>82</v>
      </c>
      <c r="D29" t="s">
        <v>108</v>
      </c>
      <c r="E29" t="s">
        <v>89</v>
      </c>
      <c r="F29">
        <v>293</v>
      </c>
      <c r="G29">
        <v>14379</v>
      </c>
      <c r="H29">
        <v>2.0376938591000801E-2</v>
      </c>
      <c r="I29">
        <v>0.78636086392406801</v>
      </c>
      <c r="J29">
        <v>0.58870203178177805</v>
      </c>
      <c r="K29">
        <v>0.94482927567560104</v>
      </c>
      <c r="L29">
        <v>0.86764705882352999</v>
      </c>
      <c r="M29">
        <v>0.80851063829787195</v>
      </c>
      <c r="N29">
        <v>0.92198581560283699</v>
      </c>
      <c r="O29">
        <v>0.99294659337538804</v>
      </c>
      <c r="P29">
        <v>0.97837016450644398</v>
      </c>
      <c r="Q29">
        <v>1</v>
      </c>
      <c r="R29">
        <v>0.71900071799656595</v>
      </c>
      <c r="S29">
        <v>0.45140667273185098</v>
      </c>
      <c r="T29">
        <v>1</v>
      </c>
      <c r="U29">
        <v>0.99723506336412704</v>
      </c>
      <c r="V29">
        <v>0.99599841976233905</v>
      </c>
      <c r="W29">
        <v>0.99836735516254005</v>
      </c>
      <c r="X29">
        <v>2.0376938591000801E-2</v>
      </c>
      <c r="Y29">
        <v>2.0376938591000801E-2</v>
      </c>
      <c r="Z29">
        <v>2.0376938591000801E-2</v>
      </c>
      <c r="AA29">
        <v>0.78510379372204298</v>
      </c>
      <c r="AB29">
        <v>0.607941104652438</v>
      </c>
      <c r="AC29">
        <v>0.94457642110625795</v>
      </c>
      <c r="AD29">
        <v>0.83573586974460701</v>
      </c>
      <c r="AE29">
        <v>0.62168874318626899</v>
      </c>
      <c r="AF29">
        <v>0.998402494943051</v>
      </c>
      <c r="AG29">
        <v>0.99772380171888697</v>
      </c>
      <c r="AH29">
        <v>0.99570842235645096</v>
      </c>
      <c r="AI29">
        <v>0.99891770531007595</v>
      </c>
      <c r="AJ29">
        <v>300</v>
      </c>
      <c r="AK29">
        <v>121</v>
      </c>
      <c r="AL29">
        <v>179</v>
      </c>
      <c r="AM29">
        <v>118</v>
      </c>
      <c r="AN29">
        <v>0</v>
      </c>
      <c r="AO29">
        <v>18</v>
      </c>
      <c r="AP29">
        <v>0</v>
      </c>
      <c r="AQ29">
        <v>2</v>
      </c>
      <c r="AR29">
        <v>1</v>
      </c>
      <c r="AS29">
        <v>12</v>
      </c>
      <c r="AT29">
        <v>149</v>
      </c>
      <c r="AU29">
        <v>117</v>
      </c>
      <c r="AV29">
        <v>3</v>
      </c>
      <c r="AW29">
        <v>7</v>
      </c>
      <c r="AX29">
        <v>173</v>
      </c>
      <c r="AY29">
        <v>0.93093922651933703</v>
      </c>
      <c r="AZ29">
        <v>0.88606693567529105</v>
      </c>
      <c r="BA29">
        <v>0.97189639011578</v>
      </c>
      <c r="BB29">
        <v>864.5</v>
      </c>
      <c r="BC29">
        <v>999.15</v>
      </c>
      <c r="BD29">
        <v>136</v>
      </c>
      <c r="BE29">
        <v>164</v>
      </c>
      <c r="BF29">
        <v>0.79891184941654603</v>
      </c>
      <c r="BG29">
        <v>0.91963488338902899</v>
      </c>
      <c r="BH29">
        <v>0.96649632289661302</v>
      </c>
      <c r="BI29">
        <v>0.99984563503754398</v>
      </c>
      <c r="BJ29">
        <v>0.79891184941654603</v>
      </c>
      <c r="BK29">
        <v>0.96649632289661302</v>
      </c>
      <c r="BL29">
        <v>0.92198581560283699</v>
      </c>
      <c r="BM29">
        <v>1</v>
      </c>
      <c r="BN29">
        <v>4</v>
      </c>
      <c r="BO29" t="s">
        <v>140</v>
      </c>
      <c r="BP29" t="s">
        <v>85</v>
      </c>
      <c r="BQ29" t="s">
        <v>82</v>
      </c>
      <c r="BR29" t="s">
        <v>108</v>
      </c>
      <c r="BS29" t="s">
        <v>86</v>
      </c>
      <c r="BT29">
        <v>0.02</v>
      </c>
      <c r="BU29" t="s">
        <v>151</v>
      </c>
      <c r="BV29" t="s">
        <v>152</v>
      </c>
      <c r="BW29">
        <v>0.998</v>
      </c>
      <c r="BX29">
        <v>0.71899999999999997</v>
      </c>
      <c r="BY29">
        <v>0.997</v>
      </c>
      <c r="BZ29">
        <v>0.78600000000000003</v>
      </c>
      <c r="CA29">
        <v>0.83599999999999997</v>
      </c>
      <c r="CB29">
        <v>0.78500000000000003</v>
      </c>
      <c r="CC29">
        <v>0.93100000000000005</v>
      </c>
    </row>
    <row r="30" spans="1:81" x14ac:dyDescent="0.2">
      <c r="A30" t="s">
        <v>139</v>
      </c>
      <c r="B30" t="s">
        <v>81</v>
      </c>
      <c r="C30" t="s">
        <v>82</v>
      </c>
      <c r="D30" t="s">
        <v>111</v>
      </c>
      <c r="E30" t="s">
        <v>89</v>
      </c>
      <c r="F30" t="s">
        <v>93</v>
      </c>
      <c r="G30" t="s">
        <v>93</v>
      </c>
      <c r="H30">
        <v>2.0070936782808298E-2</v>
      </c>
      <c r="I30">
        <v>0.79403058707449203</v>
      </c>
      <c r="J30">
        <v>0.59119093880281504</v>
      </c>
      <c r="K30">
        <v>0.95202952029520405</v>
      </c>
      <c r="L30">
        <v>0.89230769230769202</v>
      </c>
      <c r="M30">
        <v>0.837209302325581</v>
      </c>
      <c r="N30">
        <v>0.94286295005807197</v>
      </c>
      <c r="O30">
        <v>0.99272412422642398</v>
      </c>
      <c r="P30">
        <v>0.97789274480317601</v>
      </c>
      <c r="Q30">
        <v>0.99983456761787803</v>
      </c>
      <c r="R30">
        <v>0.71525386068214303</v>
      </c>
      <c r="S30">
        <v>0.44653074906613299</v>
      </c>
      <c r="T30">
        <v>0.99122807017543901</v>
      </c>
      <c r="U30">
        <v>0.99778300244811302</v>
      </c>
      <c r="V30">
        <v>0.996637351664312</v>
      </c>
      <c r="W30">
        <v>0.99882779992695203</v>
      </c>
      <c r="X30">
        <v>2.0070936782808298E-2</v>
      </c>
      <c r="Y30">
        <v>1.8754343949957699E-2</v>
      </c>
      <c r="Z30">
        <v>2.1285637142401299E-2</v>
      </c>
      <c r="AA30">
        <v>0.79439304518100995</v>
      </c>
      <c r="AB30">
        <v>0.61436506959856596</v>
      </c>
      <c r="AC30">
        <v>0.95150636978424097</v>
      </c>
      <c r="AD30">
        <v>0.83337740266020499</v>
      </c>
      <c r="AE30">
        <v>0.617203559873858</v>
      </c>
      <c r="AF30">
        <v>0.99420057608303303</v>
      </c>
      <c r="AG30">
        <v>0.99823503511193401</v>
      </c>
      <c r="AH30">
        <v>0.99656446092941098</v>
      </c>
      <c r="AI30">
        <v>0.99920518561828298</v>
      </c>
      <c r="AJ30">
        <v>300</v>
      </c>
      <c r="AK30">
        <v>121</v>
      </c>
      <c r="AL30">
        <v>179</v>
      </c>
      <c r="AM30">
        <v>116</v>
      </c>
      <c r="AN30">
        <v>0</v>
      </c>
      <c r="AO30">
        <v>14</v>
      </c>
      <c r="AP30">
        <v>0</v>
      </c>
      <c r="AQ30">
        <v>4</v>
      </c>
      <c r="AR30">
        <v>1</v>
      </c>
      <c r="AS30">
        <v>16</v>
      </c>
      <c r="AT30">
        <v>149</v>
      </c>
      <c r="AU30">
        <v>117</v>
      </c>
      <c r="AV30">
        <v>3</v>
      </c>
      <c r="AW30">
        <v>7</v>
      </c>
      <c r="AX30">
        <v>173</v>
      </c>
      <c r="AY30">
        <v>0.93093922651933703</v>
      </c>
      <c r="AZ30">
        <v>0.8856482610402</v>
      </c>
      <c r="BA30">
        <v>0.97179791797977599</v>
      </c>
      <c r="BB30">
        <v>864.5</v>
      </c>
      <c r="BC30">
        <v>999.15</v>
      </c>
      <c r="BD30">
        <v>130</v>
      </c>
      <c r="BE30">
        <v>170</v>
      </c>
      <c r="BF30">
        <v>0.82591447938693097</v>
      </c>
      <c r="BG30">
        <v>0.93985931289636504</v>
      </c>
      <c r="BH30">
        <v>0.96766293393949498</v>
      </c>
      <c r="BI30">
        <v>0.99985108280700596</v>
      </c>
      <c r="BJ30">
        <v>0.82591447938693097</v>
      </c>
      <c r="BK30">
        <v>0.96766293393949498</v>
      </c>
      <c r="BL30">
        <v>0.94286295005807197</v>
      </c>
      <c r="BM30">
        <v>0.99985108280700596</v>
      </c>
      <c r="BN30">
        <v>4</v>
      </c>
      <c r="BO30" t="s">
        <v>140</v>
      </c>
      <c r="BP30" t="s">
        <v>85</v>
      </c>
      <c r="BQ30" t="s">
        <v>82</v>
      </c>
      <c r="BR30" t="s">
        <v>111</v>
      </c>
      <c r="BS30" t="s">
        <v>86</v>
      </c>
      <c r="BT30">
        <v>0.02</v>
      </c>
      <c r="BU30" t="s">
        <v>153</v>
      </c>
      <c r="BV30" t="s">
        <v>152</v>
      </c>
      <c r="BW30">
        <v>0.998</v>
      </c>
      <c r="BX30">
        <v>0.71499999999999997</v>
      </c>
      <c r="BY30">
        <v>0.998</v>
      </c>
      <c r="BZ30">
        <v>0.79400000000000004</v>
      </c>
      <c r="CA30">
        <v>0.83299999999999996</v>
      </c>
      <c r="CB30">
        <v>0.79400000000000004</v>
      </c>
      <c r="CC30">
        <v>0.93100000000000005</v>
      </c>
    </row>
    <row r="31" spans="1:81" x14ac:dyDescent="0.2">
      <c r="A31" t="s">
        <v>139</v>
      </c>
      <c r="B31" t="s">
        <v>81</v>
      </c>
      <c r="C31" t="s">
        <v>82</v>
      </c>
      <c r="D31" t="s">
        <v>114</v>
      </c>
      <c r="E31" t="s">
        <v>89</v>
      </c>
      <c r="F31" t="s">
        <v>93</v>
      </c>
      <c r="G31" t="s">
        <v>93</v>
      </c>
      <c r="H31">
        <v>1.7755059461715E-2</v>
      </c>
      <c r="I31">
        <v>0.75762992816979102</v>
      </c>
      <c r="J31">
        <v>0.55936934962643703</v>
      </c>
      <c r="K31">
        <v>0.92376788383514996</v>
      </c>
      <c r="L31">
        <v>0.91304347826086896</v>
      </c>
      <c r="M31">
        <v>0.85714285714285698</v>
      </c>
      <c r="N31">
        <v>0.96153846153846201</v>
      </c>
      <c r="O31">
        <v>0.99101227015583704</v>
      </c>
      <c r="P31">
        <v>0.976459046906479</v>
      </c>
      <c r="Q31">
        <v>0.99847722374206105</v>
      </c>
      <c r="R31">
        <v>0.64742806354849203</v>
      </c>
      <c r="S31">
        <v>0.40430215926285901</v>
      </c>
      <c r="T31">
        <v>0.91935483870967305</v>
      </c>
      <c r="U31">
        <v>0.99841643032008098</v>
      </c>
      <c r="V31">
        <v>0.99739362250659003</v>
      </c>
      <c r="W31">
        <v>0.99930798443782098</v>
      </c>
      <c r="X31">
        <v>1.7755059461715E-2</v>
      </c>
      <c r="Y31">
        <v>1.6117254329230099E-2</v>
      </c>
      <c r="Z31">
        <v>1.92740757690988E-2</v>
      </c>
      <c r="AA31">
        <v>0.76412003459218503</v>
      </c>
      <c r="AB31">
        <v>0.59385408584587196</v>
      </c>
      <c r="AC31">
        <v>0.92271289296466896</v>
      </c>
      <c r="AD31">
        <v>0.78564232140130696</v>
      </c>
      <c r="AE31">
        <v>0.575700159215212</v>
      </c>
      <c r="AF31">
        <v>0.95712577179040603</v>
      </c>
      <c r="AG31">
        <v>0.99888667804614395</v>
      </c>
      <c r="AH31">
        <v>0.99768157582172301</v>
      </c>
      <c r="AI31">
        <v>0.99958172883349705</v>
      </c>
      <c r="AJ31">
        <v>300</v>
      </c>
      <c r="AK31">
        <v>121</v>
      </c>
      <c r="AL31">
        <v>179</v>
      </c>
      <c r="AM31">
        <v>105</v>
      </c>
      <c r="AN31">
        <v>0</v>
      </c>
      <c r="AO31">
        <v>10</v>
      </c>
      <c r="AP31">
        <v>0</v>
      </c>
      <c r="AQ31">
        <v>15</v>
      </c>
      <c r="AR31">
        <v>1</v>
      </c>
      <c r="AS31">
        <v>20</v>
      </c>
      <c r="AT31">
        <v>149</v>
      </c>
      <c r="AU31">
        <v>117</v>
      </c>
      <c r="AV31">
        <v>3</v>
      </c>
      <c r="AW31">
        <v>7</v>
      </c>
      <c r="AX31">
        <v>173</v>
      </c>
      <c r="AY31">
        <v>0.93093922651933703</v>
      </c>
      <c r="AZ31">
        <v>0.88559857786742902</v>
      </c>
      <c r="BA31">
        <v>0.97170878913617498</v>
      </c>
      <c r="BB31">
        <v>864.5</v>
      </c>
      <c r="BC31">
        <v>999.15</v>
      </c>
      <c r="BD31">
        <v>115</v>
      </c>
      <c r="BE31">
        <v>185</v>
      </c>
      <c r="BF31">
        <v>0.84589476878459102</v>
      </c>
      <c r="BG31">
        <v>0.95751082270903198</v>
      </c>
      <c r="BH31">
        <v>0.96149521386153103</v>
      </c>
      <c r="BI31">
        <v>0.99868806870774396</v>
      </c>
      <c r="BJ31">
        <v>0.84589476878459102</v>
      </c>
      <c r="BK31">
        <v>0.96149521386153103</v>
      </c>
      <c r="BL31">
        <v>0.96153846153846201</v>
      </c>
      <c r="BM31">
        <v>0.99868806870774396</v>
      </c>
      <c r="BN31">
        <v>4</v>
      </c>
      <c r="BO31" t="s">
        <v>140</v>
      </c>
      <c r="BP31" t="s">
        <v>85</v>
      </c>
      <c r="BQ31" t="s">
        <v>82</v>
      </c>
      <c r="BR31" t="s">
        <v>114</v>
      </c>
      <c r="BS31" t="s">
        <v>86</v>
      </c>
      <c r="BT31">
        <v>1.7999999999999999E-2</v>
      </c>
      <c r="BU31" t="s">
        <v>154</v>
      </c>
      <c r="BV31" t="s">
        <v>147</v>
      </c>
      <c r="BW31">
        <v>0.999</v>
      </c>
      <c r="BX31">
        <v>0.64700000000000002</v>
      </c>
      <c r="BY31">
        <v>0.998</v>
      </c>
      <c r="BZ31">
        <v>0.75800000000000001</v>
      </c>
      <c r="CA31">
        <v>0.78600000000000003</v>
      </c>
      <c r="CB31">
        <v>0.76400000000000001</v>
      </c>
      <c r="CC31">
        <v>0.93100000000000005</v>
      </c>
    </row>
    <row r="32" spans="1:81" x14ac:dyDescent="0.2">
      <c r="A32" t="s">
        <v>139</v>
      </c>
      <c r="B32" t="s">
        <v>81</v>
      </c>
      <c r="C32" t="s">
        <v>82</v>
      </c>
      <c r="D32" t="s">
        <v>117</v>
      </c>
      <c r="E32" t="s">
        <v>89</v>
      </c>
      <c r="F32" t="s">
        <v>93</v>
      </c>
      <c r="G32" t="s">
        <v>93</v>
      </c>
      <c r="H32">
        <v>2.8790109403605699E-2</v>
      </c>
      <c r="I32">
        <v>0.66020700097366802</v>
      </c>
      <c r="J32">
        <v>0.45997578094358099</v>
      </c>
      <c r="K32">
        <v>0.92822966507176796</v>
      </c>
      <c r="L32">
        <v>0.62782463983292802</v>
      </c>
      <c r="M32">
        <v>0.38944033012662099</v>
      </c>
      <c r="N32">
        <v>0.89908256880734005</v>
      </c>
      <c r="O32">
        <v>0.99187536208449101</v>
      </c>
      <c r="P32">
        <v>0.975085148999705</v>
      </c>
      <c r="Q32">
        <v>1</v>
      </c>
      <c r="R32">
        <v>0.69611150809084799</v>
      </c>
      <c r="S32">
        <v>0.42106455437503298</v>
      </c>
      <c r="T32">
        <v>1</v>
      </c>
      <c r="U32">
        <v>0.98899939027497397</v>
      </c>
      <c r="V32">
        <v>0.97187813483413199</v>
      </c>
      <c r="W32">
        <v>0.99779884759176496</v>
      </c>
      <c r="X32">
        <v>2.8790109403605699E-2</v>
      </c>
      <c r="Y32">
        <v>2.0371143102209201E-2</v>
      </c>
      <c r="Z32">
        <v>4.5323124509868903E-2</v>
      </c>
      <c r="AA32">
        <v>0.65158516329866301</v>
      </c>
      <c r="AB32">
        <v>0.44813789175513602</v>
      </c>
      <c r="AC32">
        <v>0.92820534001418598</v>
      </c>
      <c r="AD32">
        <v>0.81673188239819605</v>
      </c>
      <c r="AE32">
        <v>0.59153110742549597</v>
      </c>
      <c r="AF32">
        <v>0.99360662872854699</v>
      </c>
      <c r="AG32">
        <v>0.98791524141181497</v>
      </c>
      <c r="AH32">
        <v>0.94115243121782799</v>
      </c>
      <c r="AI32">
        <v>0.99848825616943504</v>
      </c>
      <c r="AJ32">
        <v>253</v>
      </c>
      <c r="AK32">
        <v>99</v>
      </c>
      <c r="AL32">
        <v>154</v>
      </c>
      <c r="AM32">
        <v>96</v>
      </c>
      <c r="AN32">
        <v>0</v>
      </c>
      <c r="AO32">
        <v>17</v>
      </c>
      <c r="AP32">
        <v>1</v>
      </c>
      <c r="AQ32">
        <v>2</v>
      </c>
      <c r="AR32">
        <v>1</v>
      </c>
      <c r="AS32">
        <v>8</v>
      </c>
      <c r="AT32">
        <v>128</v>
      </c>
      <c r="AU32">
        <v>99</v>
      </c>
      <c r="AV32">
        <v>2</v>
      </c>
      <c r="AW32">
        <v>6</v>
      </c>
      <c r="AX32">
        <v>146</v>
      </c>
      <c r="AY32">
        <v>0.93451533583538204</v>
      </c>
      <c r="AZ32">
        <v>0.88589652728561297</v>
      </c>
      <c r="BA32">
        <v>0.97532617481822903</v>
      </c>
      <c r="BB32">
        <v>5088</v>
      </c>
      <c r="BC32">
        <v>5253.1343873517799</v>
      </c>
      <c r="BD32">
        <v>114</v>
      </c>
      <c r="BE32">
        <v>139</v>
      </c>
      <c r="BF32">
        <v>0.53614316812572005</v>
      </c>
      <c r="BG32">
        <v>0.71999870150934897</v>
      </c>
      <c r="BH32">
        <v>0.96056923112627801</v>
      </c>
      <c r="BI32">
        <v>0.99981787408345502</v>
      </c>
      <c r="BJ32">
        <v>0.38944033012662099</v>
      </c>
      <c r="BK32">
        <v>0.96056923112627801</v>
      </c>
      <c r="BL32">
        <v>0.89908256880734005</v>
      </c>
      <c r="BM32">
        <v>1</v>
      </c>
      <c r="BN32">
        <v>4</v>
      </c>
      <c r="BO32" t="s">
        <v>140</v>
      </c>
      <c r="BP32" t="s">
        <v>85</v>
      </c>
      <c r="BQ32" t="s">
        <v>82</v>
      </c>
      <c r="BR32" t="s">
        <v>117</v>
      </c>
      <c r="BS32" t="s">
        <v>100</v>
      </c>
      <c r="BT32">
        <v>2.9000000000000001E-2</v>
      </c>
      <c r="BU32" t="s">
        <v>155</v>
      </c>
      <c r="BV32" t="s">
        <v>149</v>
      </c>
      <c r="BW32">
        <v>0.98799999999999999</v>
      </c>
      <c r="BX32">
        <v>0.69599999999999995</v>
      </c>
      <c r="BY32">
        <v>0.98899999999999999</v>
      </c>
      <c r="BZ32">
        <v>0.66</v>
      </c>
      <c r="CA32">
        <v>0.81699999999999995</v>
      </c>
      <c r="CB32">
        <v>0.65200000000000002</v>
      </c>
      <c r="CC32">
        <v>0.93500000000000005</v>
      </c>
    </row>
    <row r="33" spans="1:81" x14ac:dyDescent="0.2">
      <c r="A33" t="s">
        <v>139</v>
      </c>
      <c r="B33" t="s">
        <v>81</v>
      </c>
      <c r="C33" t="s">
        <v>82</v>
      </c>
      <c r="D33" t="s">
        <v>119</v>
      </c>
      <c r="E33" t="s">
        <v>89</v>
      </c>
      <c r="F33" t="s">
        <v>93</v>
      </c>
      <c r="G33" t="s">
        <v>93</v>
      </c>
      <c r="H33">
        <v>1.90165536122292E-2</v>
      </c>
      <c r="I33">
        <v>0.77853930550527695</v>
      </c>
      <c r="J33">
        <v>0.55489474609228995</v>
      </c>
      <c r="K33">
        <v>0.96132596685082605</v>
      </c>
      <c r="L33">
        <v>0.92079207920792105</v>
      </c>
      <c r="M33">
        <v>0.86363636363636398</v>
      </c>
      <c r="N33">
        <v>0.97</v>
      </c>
      <c r="O33">
        <v>0.991380510181606</v>
      </c>
      <c r="P33">
        <v>0.97414896551802599</v>
      </c>
      <c r="Q33">
        <v>0.99962161325996302</v>
      </c>
      <c r="R33">
        <v>0.67435802346301099</v>
      </c>
      <c r="S33">
        <v>0.40001212242943301</v>
      </c>
      <c r="T33">
        <v>0.979797979797981</v>
      </c>
      <c r="U33">
        <v>0.99845358430063302</v>
      </c>
      <c r="V33">
        <v>0.99732062671718003</v>
      </c>
      <c r="W33">
        <v>0.99941471434245099</v>
      </c>
      <c r="X33">
        <v>1.90165536122292E-2</v>
      </c>
      <c r="Y33">
        <v>1.7369079908199501E-2</v>
      </c>
      <c r="Z33">
        <v>2.0522922263296901E-2</v>
      </c>
      <c r="AA33">
        <v>0.78340302936936201</v>
      </c>
      <c r="AB33">
        <v>0.592898000794706</v>
      </c>
      <c r="AC33">
        <v>0.96066316755674896</v>
      </c>
      <c r="AD33">
        <v>0.80514768072577103</v>
      </c>
      <c r="AE33">
        <v>0.57140218871566095</v>
      </c>
      <c r="AF33">
        <v>0.98903586174293401</v>
      </c>
      <c r="AG33">
        <v>0.99887674178970298</v>
      </c>
      <c r="AH33">
        <v>0.99747766393169801</v>
      </c>
      <c r="AI33">
        <v>0.99962461833689098</v>
      </c>
      <c r="AJ33">
        <v>253</v>
      </c>
      <c r="AK33">
        <v>99</v>
      </c>
      <c r="AL33">
        <v>154</v>
      </c>
      <c r="AM33">
        <v>93</v>
      </c>
      <c r="AN33">
        <v>0</v>
      </c>
      <c r="AO33">
        <v>8</v>
      </c>
      <c r="AP33">
        <v>0</v>
      </c>
      <c r="AQ33">
        <v>5</v>
      </c>
      <c r="AR33">
        <v>1</v>
      </c>
      <c r="AS33">
        <v>17</v>
      </c>
      <c r="AT33">
        <v>129</v>
      </c>
      <c r="AU33">
        <v>99</v>
      </c>
      <c r="AV33">
        <v>2</v>
      </c>
      <c r="AW33">
        <v>6</v>
      </c>
      <c r="AX33">
        <v>146</v>
      </c>
      <c r="AY33">
        <v>0.93451533583538204</v>
      </c>
      <c r="AZ33">
        <v>0.88577785989951197</v>
      </c>
      <c r="BA33">
        <v>0.97540266390122199</v>
      </c>
      <c r="BB33">
        <v>5088</v>
      </c>
      <c r="BC33">
        <v>5253.1343873517799</v>
      </c>
      <c r="BD33">
        <v>101</v>
      </c>
      <c r="BE33">
        <v>152</v>
      </c>
      <c r="BF33">
        <v>0.84988379899491195</v>
      </c>
      <c r="BG33">
        <v>0.96518308960120502</v>
      </c>
      <c r="BH33">
        <v>0.96389096626253401</v>
      </c>
      <c r="BI33">
        <v>0.99983344934488805</v>
      </c>
      <c r="BJ33">
        <v>0.84988379899491195</v>
      </c>
      <c r="BK33">
        <v>0.96389096626253401</v>
      </c>
      <c r="BL33">
        <v>0.97</v>
      </c>
      <c r="BM33">
        <v>0.99983344934488805</v>
      </c>
      <c r="BN33">
        <v>4</v>
      </c>
      <c r="BO33" t="s">
        <v>140</v>
      </c>
      <c r="BP33" t="s">
        <v>85</v>
      </c>
      <c r="BQ33" t="s">
        <v>82</v>
      </c>
      <c r="BR33" t="s">
        <v>119</v>
      </c>
      <c r="BS33" t="s">
        <v>100</v>
      </c>
      <c r="BT33">
        <v>1.9E-2</v>
      </c>
      <c r="BU33" t="s">
        <v>156</v>
      </c>
      <c r="BV33" t="s">
        <v>147</v>
      </c>
      <c r="BW33">
        <v>0.999</v>
      </c>
      <c r="BX33">
        <v>0.67400000000000004</v>
      </c>
      <c r="BY33">
        <v>0.998</v>
      </c>
      <c r="BZ33">
        <v>0.77900000000000003</v>
      </c>
      <c r="CA33">
        <v>0.80500000000000005</v>
      </c>
      <c r="CB33">
        <v>0.78300000000000003</v>
      </c>
      <c r="CC33">
        <v>0.93500000000000005</v>
      </c>
    </row>
    <row r="34" spans="1:81" x14ac:dyDescent="0.2">
      <c r="A34" t="s">
        <v>139</v>
      </c>
      <c r="B34" t="s">
        <v>81</v>
      </c>
      <c r="C34" t="s">
        <v>82</v>
      </c>
      <c r="D34" t="s">
        <v>120</v>
      </c>
      <c r="E34" t="s">
        <v>89</v>
      </c>
      <c r="F34" t="s">
        <v>93</v>
      </c>
      <c r="G34" t="s">
        <v>93</v>
      </c>
      <c r="H34">
        <v>2.48849015926003E-2</v>
      </c>
      <c r="I34">
        <v>0.98453737497561999</v>
      </c>
      <c r="J34">
        <v>0.96356275303643701</v>
      </c>
      <c r="K34">
        <v>0.99658735707509605</v>
      </c>
      <c r="L34">
        <v>0.98759152646582105</v>
      </c>
      <c r="M34">
        <v>0.96296296296296302</v>
      </c>
      <c r="N34">
        <v>1</v>
      </c>
      <c r="O34">
        <v>0.99952500431490099</v>
      </c>
      <c r="P34">
        <v>0.99892161929997003</v>
      </c>
      <c r="Q34">
        <v>1</v>
      </c>
      <c r="R34">
        <v>0.98150205532718304</v>
      </c>
      <c r="S34">
        <v>0.95139907109341504</v>
      </c>
      <c r="T34">
        <v>1</v>
      </c>
      <c r="U34">
        <v>0.99968328606401602</v>
      </c>
      <c r="V34">
        <v>0.99918152726392295</v>
      </c>
      <c r="W34">
        <v>1</v>
      </c>
      <c r="X34">
        <v>2.48849015926003E-2</v>
      </c>
      <c r="Y34">
        <v>1.72525089021042E-2</v>
      </c>
      <c r="Z34">
        <v>3.9547111957521301E-2</v>
      </c>
      <c r="AA34">
        <v>0.98414646788320004</v>
      </c>
      <c r="AB34">
        <v>0.96295547275627302</v>
      </c>
      <c r="AC34">
        <v>0.996505530545715</v>
      </c>
      <c r="AD34">
        <v>0.99051027826069304</v>
      </c>
      <c r="AE34">
        <v>0.97493260743565002</v>
      </c>
      <c r="AF34">
        <v>0.99984322420132699</v>
      </c>
      <c r="AG34">
        <v>0.99968538776503202</v>
      </c>
      <c r="AH34">
        <v>0.99917051948615399</v>
      </c>
      <c r="AI34">
        <v>1</v>
      </c>
      <c r="AJ34">
        <v>300</v>
      </c>
      <c r="AK34">
        <v>121</v>
      </c>
      <c r="AL34">
        <v>179</v>
      </c>
      <c r="AM34">
        <v>117</v>
      </c>
      <c r="AN34">
        <v>1</v>
      </c>
      <c r="AO34">
        <v>2</v>
      </c>
      <c r="AP34">
        <v>0</v>
      </c>
      <c r="AQ34">
        <v>3</v>
      </c>
      <c r="AR34">
        <v>0</v>
      </c>
      <c r="AS34">
        <v>28</v>
      </c>
      <c r="AT34">
        <v>149</v>
      </c>
      <c r="AU34">
        <v>117</v>
      </c>
      <c r="AV34">
        <v>3</v>
      </c>
      <c r="AW34">
        <v>7</v>
      </c>
      <c r="AX34">
        <v>173</v>
      </c>
      <c r="AY34">
        <v>0.93093922651933703</v>
      </c>
      <c r="AZ34">
        <v>0.88485770879262304</v>
      </c>
      <c r="BA34">
        <v>0.97150997150997198</v>
      </c>
      <c r="BB34">
        <v>864.5</v>
      </c>
      <c r="BC34">
        <v>999.15</v>
      </c>
      <c r="BD34">
        <v>120</v>
      </c>
      <c r="BE34">
        <v>180</v>
      </c>
      <c r="BF34">
        <v>0.95444448676640703</v>
      </c>
      <c r="BG34">
        <v>0.999789040521878</v>
      </c>
      <c r="BH34">
        <v>0.97971479542988704</v>
      </c>
      <c r="BI34">
        <v>1</v>
      </c>
      <c r="BJ34">
        <v>0.95444448676640703</v>
      </c>
      <c r="BK34">
        <v>0.97971479542988704</v>
      </c>
      <c r="BL34">
        <v>1</v>
      </c>
      <c r="BM34">
        <v>1</v>
      </c>
      <c r="BN34">
        <v>4</v>
      </c>
      <c r="BO34" t="s">
        <v>140</v>
      </c>
      <c r="BP34" t="s">
        <v>85</v>
      </c>
      <c r="BQ34" t="s">
        <v>82</v>
      </c>
      <c r="BR34" t="s">
        <v>120</v>
      </c>
      <c r="BS34" t="s">
        <v>86</v>
      </c>
      <c r="BT34">
        <v>2.5000000000000001E-2</v>
      </c>
      <c r="BU34" t="s">
        <v>157</v>
      </c>
      <c r="BV34" t="s">
        <v>88</v>
      </c>
      <c r="BW34">
        <v>1</v>
      </c>
      <c r="BX34">
        <v>0.98199999999999998</v>
      </c>
      <c r="BY34">
        <v>1</v>
      </c>
      <c r="BZ34">
        <v>0.98499999999999999</v>
      </c>
      <c r="CA34">
        <v>0.99099999999999999</v>
      </c>
      <c r="CB34">
        <v>0.98399999999999999</v>
      </c>
      <c r="CC34">
        <v>0.93100000000000005</v>
      </c>
    </row>
    <row r="35" spans="1:81" x14ac:dyDescent="0.2">
      <c r="A35" t="s">
        <v>139</v>
      </c>
      <c r="B35" t="s">
        <v>81</v>
      </c>
      <c r="C35" t="s">
        <v>82</v>
      </c>
      <c r="D35" t="s">
        <v>123</v>
      </c>
      <c r="E35" t="s">
        <v>89</v>
      </c>
      <c r="F35" t="s">
        <v>93</v>
      </c>
      <c r="G35" t="s">
        <v>93</v>
      </c>
      <c r="H35">
        <v>3.8218234925933701E-2</v>
      </c>
      <c r="I35">
        <v>0.78678071197695598</v>
      </c>
      <c r="J35">
        <v>0.55752384723642301</v>
      </c>
      <c r="K35">
        <v>0.99578059071729697</v>
      </c>
      <c r="L35">
        <v>0.65112639662263005</v>
      </c>
      <c r="M35">
        <v>0.38847612254014102</v>
      </c>
      <c r="N35">
        <v>0.994830503410013</v>
      </c>
      <c r="O35">
        <v>0.99983947312476396</v>
      </c>
      <c r="P35">
        <v>0.99948408537189903</v>
      </c>
      <c r="Q35">
        <v>1</v>
      </c>
      <c r="R35">
        <v>0.99383401844239405</v>
      </c>
      <c r="S35">
        <v>0.97580645161290602</v>
      </c>
      <c r="T35">
        <v>1.00000000000001</v>
      </c>
      <c r="U35">
        <v>0.98632423517864398</v>
      </c>
      <c r="V35">
        <v>0.96524012688732896</v>
      </c>
      <c r="W35">
        <v>0.99984927373779497</v>
      </c>
      <c r="X35">
        <v>3.8218234925933701E-2</v>
      </c>
      <c r="Y35">
        <v>1.8671760901314401E-2</v>
      </c>
      <c r="Z35">
        <v>6.3084335097386895E-2</v>
      </c>
      <c r="AA35">
        <v>0.798780051114514</v>
      </c>
      <c r="AB35">
        <v>0.60959945366610102</v>
      </c>
      <c r="AC35">
        <v>0.99570898231674698</v>
      </c>
      <c r="AD35">
        <v>0.98650267164032901</v>
      </c>
      <c r="AE35">
        <v>0.95327258543397997</v>
      </c>
      <c r="AF35">
        <v>0.99984118787045195</v>
      </c>
      <c r="AG35">
        <v>0.97927869700234005</v>
      </c>
      <c r="AH35">
        <v>0.91750894898712598</v>
      </c>
      <c r="AI35">
        <v>0.99984950034008502</v>
      </c>
      <c r="AJ35">
        <v>300</v>
      </c>
      <c r="AK35">
        <v>121</v>
      </c>
      <c r="AL35">
        <v>179</v>
      </c>
      <c r="AM35">
        <v>119</v>
      </c>
      <c r="AN35">
        <v>1</v>
      </c>
      <c r="AO35">
        <v>2</v>
      </c>
      <c r="AP35">
        <v>2</v>
      </c>
      <c r="AQ35">
        <v>1</v>
      </c>
      <c r="AR35">
        <v>0</v>
      </c>
      <c r="AS35">
        <v>28</v>
      </c>
      <c r="AT35">
        <v>147</v>
      </c>
      <c r="AU35">
        <v>117</v>
      </c>
      <c r="AV35">
        <v>3</v>
      </c>
      <c r="AW35">
        <v>7</v>
      </c>
      <c r="AX35">
        <v>173</v>
      </c>
      <c r="AY35">
        <v>0.93093922651933703</v>
      </c>
      <c r="AZ35">
        <v>0.88507067968568798</v>
      </c>
      <c r="BA35">
        <v>0.97189037245256504</v>
      </c>
      <c r="BB35">
        <v>864.5</v>
      </c>
      <c r="BC35">
        <v>999.15</v>
      </c>
      <c r="BD35">
        <v>124</v>
      </c>
      <c r="BE35">
        <v>176</v>
      </c>
      <c r="BF35">
        <v>0.56253024628527704</v>
      </c>
      <c r="BG35">
        <v>0.73641442160429005</v>
      </c>
      <c r="BH35">
        <v>0.97925858226615603</v>
      </c>
      <c r="BI35">
        <v>1</v>
      </c>
      <c r="BJ35">
        <v>0.38847612254014102</v>
      </c>
      <c r="BK35">
        <v>0.97925858226615603</v>
      </c>
      <c r="BL35">
        <v>0.994830503410013</v>
      </c>
      <c r="BM35">
        <v>1</v>
      </c>
      <c r="BN35">
        <v>4</v>
      </c>
      <c r="BO35" t="s">
        <v>140</v>
      </c>
      <c r="BP35" t="s">
        <v>85</v>
      </c>
      <c r="BQ35" t="s">
        <v>82</v>
      </c>
      <c r="BR35" t="s">
        <v>123</v>
      </c>
      <c r="BS35" t="s">
        <v>86</v>
      </c>
      <c r="BT35">
        <v>3.7999999999999999E-2</v>
      </c>
      <c r="BU35" t="s">
        <v>372</v>
      </c>
      <c r="BV35" t="s">
        <v>88</v>
      </c>
      <c r="BW35">
        <v>0.97899999999999998</v>
      </c>
      <c r="BX35">
        <v>0.99399999999999999</v>
      </c>
      <c r="BY35">
        <v>0.98599999999999999</v>
      </c>
      <c r="BZ35">
        <v>0.78700000000000003</v>
      </c>
      <c r="CA35">
        <v>0.98699999999999999</v>
      </c>
      <c r="CB35">
        <v>0.79900000000000004</v>
      </c>
      <c r="CC35">
        <v>0.93100000000000005</v>
      </c>
    </row>
    <row r="36" spans="1:81" x14ac:dyDescent="0.2">
      <c r="A36" t="s">
        <v>158</v>
      </c>
      <c r="B36" t="s">
        <v>126</v>
      </c>
      <c r="C36" t="s">
        <v>82</v>
      </c>
      <c r="D36" t="s">
        <v>83</v>
      </c>
      <c r="E36" t="s">
        <v>89</v>
      </c>
      <c r="F36">
        <v>306</v>
      </c>
      <c r="G36">
        <v>1000</v>
      </c>
      <c r="H36">
        <v>0.30599999999999999</v>
      </c>
      <c r="I36">
        <v>0.96479127593801195</v>
      </c>
      <c r="J36">
        <v>0.930244792305434</v>
      </c>
      <c r="K36">
        <v>0.99213241129123697</v>
      </c>
      <c r="L36">
        <v>0.97694989106753805</v>
      </c>
      <c r="M36">
        <v>0.93536072139583804</v>
      </c>
      <c r="N36">
        <v>1</v>
      </c>
      <c r="O36">
        <v>0.97872340425531901</v>
      </c>
      <c r="P36">
        <v>0.95172413793103405</v>
      </c>
      <c r="Q36">
        <v>1</v>
      </c>
      <c r="R36">
        <v>0.95293158033236403</v>
      </c>
      <c r="S36">
        <v>0.89893484230673204</v>
      </c>
      <c r="T36">
        <v>1</v>
      </c>
      <c r="U36">
        <v>0.98972247839438698</v>
      </c>
      <c r="V36">
        <v>0.97155856371942495</v>
      </c>
      <c r="W36">
        <v>1</v>
      </c>
      <c r="X36">
        <v>0.30599999999999999</v>
      </c>
      <c r="Y36">
        <v>0.30599999999999999</v>
      </c>
      <c r="Z36">
        <v>0.30599999999999999</v>
      </c>
      <c r="AA36">
        <v>0.94914135441084801</v>
      </c>
      <c r="AB36">
        <v>0.89921301237731799</v>
      </c>
      <c r="AC36">
        <v>0.98871257455360495</v>
      </c>
      <c r="AD36">
        <v>0.97120063636314502</v>
      </c>
      <c r="AE36">
        <v>0.94171047815918096</v>
      </c>
      <c r="AF36">
        <v>0.99485249187848002</v>
      </c>
      <c r="AG36">
        <v>0.99018387189632096</v>
      </c>
      <c r="AH36">
        <v>0.97142253892944197</v>
      </c>
      <c r="AI36">
        <v>1</v>
      </c>
      <c r="AJ36">
        <v>300</v>
      </c>
      <c r="AK36">
        <v>160</v>
      </c>
      <c r="AL36">
        <v>140</v>
      </c>
      <c r="AM36">
        <v>149</v>
      </c>
      <c r="AN36">
        <v>8</v>
      </c>
      <c r="AO36">
        <v>1</v>
      </c>
      <c r="AP36">
        <v>1</v>
      </c>
      <c r="AQ36">
        <v>0</v>
      </c>
      <c r="AR36">
        <v>3</v>
      </c>
      <c r="AS36">
        <v>0</v>
      </c>
      <c r="AT36">
        <v>138</v>
      </c>
      <c r="AU36">
        <v>153</v>
      </c>
      <c r="AV36">
        <v>4</v>
      </c>
      <c r="AW36">
        <v>4</v>
      </c>
      <c r="AX36">
        <v>139</v>
      </c>
      <c r="AY36">
        <v>0.946550265021603</v>
      </c>
      <c r="AZ36">
        <v>0.90652125528600003</v>
      </c>
      <c r="BA36">
        <v>0.979937583593402</v>
      </c>
      <c r="BB36">
        <v>517</v>
      </c>
      <c r="BC36">
        <v>881.28666666666697</v>
      </c>
      <c r="BD36">
        <v>159</v>
      </c>
      <c r="BE36">
        <v>141</v>
      </c>
      <c r="BF36">
        <v>0.93684239379312695</v>
      </c>
      <c r="BG36">
        <v>0.99310389550372002</v>
      </c>
      <c r="BH36">
        <v>0.93908113846032304</v>
      </c>
      <c r="BI36">
        <v>0.99559057680495</v>
      </c>
      <c r="BJ36">
        <v>0.93536072139583804</v>
      </c>
      <c r="BK36">
        <v>0.93908113846032304</v>
      </c>
      <c r="BL36">
        <v>1</v>
      </c>
      <c r="BM36">
        <v>1</v>
      </c>
      <c r="BN36">
        <v>2</v>
      </c>
      <c r="BO36" t="s">
        <v>159</v>
      </c>
      <c r="BP36" t="s">
        <v>127</v>
      </c>
      <c r="BQ36" t="s">
        <v>82</v>
      </c>
      <c r="BR36" t="s">
        <v>83</v>
      </c>
      <c r="BS36" t="s">
        <v>86</v>
      </c>
      <c r="BT36">
        <v>0.30599999999999999</v>
      </c>
      <c r="BU36" t="s">
        <v>160</v>
      </c>
      <c r="BV36" t="s">
        <v>161</v>
      </c>
      <c r="BW36">
        <v>0.99</v>
      </c>
      <c r="BX36">
        <v>0.95299999999999996</v>
      </c>
      <c r="BY36">
        <v>0.99</v>
      </c>
      <c r="BZ36">
        <v>0.96499999999999997</v>
      </c>
      <c r="CA36">
        <v>0.97099999999999997</v>
      </c>
      <c r="CB36">
        <v>0.94899999999999995</v>
      </c>
      <c r="CC36">
        <v>0.94699999999999995</v>
      </c>
    </row>
    <row r="37" spans="1:81" x14ac:dyDescent="0.2">
      <c r="A37" t="s">
        <v>158</v>
      </c>
      <c r="B37" t="s">
        <v>126</v>
      </c>
      <c r="C37" t="s">
        <v>82</v>
      </c>
      <c r="D37" t="s">
        <v>89</v>
      </c>
      <c r="E37" t="s">
        <v>89</v>
      </c>
      <c r="F37">
        <v>260</v>
      </c>
      <c r="G37">
        <v>1000</v>
      </c>
      <c r="H37">
        <v>0.26</v>
      </c>
      <c r="I37">
        <v>0.90218910107126205</v>
      </c>
      <c r="J37">
        <v>0.85267418277789098</v>
      </c>
      <c r="K37">
        <v>0.94872724998969504</v>
      </c>
      <c r="L37">
        <v>0.99333333333333296</v>
      </c>
      <c r="M37">
        <v>0.97872340425531901</v>
      </c>
      <c r="N37">
        <v>1</v>
      </c>
      <c r="O37">
        <v>0.92666666666666697</v>
      </c>
      <c r="P37">
        <v>0.88194444444444398</v>
      </c>
      <c r="Q37">
        <v>0.96453900709219897</v>
      </c>
      <c r="R37">
        <v>0.82636518771331002</v>
      </c>
      <c r="S37">
        <v>0.74720800101409701</v>
      </c>
      <c r="T37">
        <v>0.90779835062016301</v>
      </c>
      <c r="U37">
        <v>0.99747866563227305</v>
      </c>
      <c r="V37">
        <v>0.99192228833851803</v>
      </c>
      <c r="W37">
        <v>1</v>
      </c>
      <c r="X37">
        <v>0.26</v>
      </c>
      <c r="Y37">
        <v>0.26</v>
      </c>
      <c r="Z37">
        <v>0.26</v>
      </c>
      <c r="AA37">
        <v>0.87059539688533705</v>
      </c>
      <c r="AB37">
        <v>0.80684134574435495</v>
      </c>
      <c r="AC37">
        <v>0.93144393613627297</v>
      </c>
      <c r="AD37">
        <v>0.90413159879011895</v>
      </c>
      <c r="AE37">
        <v>0.854621293295036</v>
      </c>
      <c r="AF37">
        <v>0.95074945193161098</v>
      </c>
      <c r="AG37">
        <v>0.99805516876301803</v>
      </c>
      <c r="AH37">
        <v>0.99358050670723697</v>
      </c>
      <c r="AI37">
        <v>1</v>
      </c>
      <c r="AJ37">
        <v>300</v>
      </c>
      <c r="AK37">
        <v>160</v>
      </c>
      <c r="AL37">
        <v>140</v>
      </c>
      <c r="AM37">
        <v>149</v>
      </c>
      <c r="AN37">
        <v>0</v>
      </c>
      <c r="AO37">
        <v>1</v>
      </c>
      <c r="AP37">
        <v>0</v>
      </c>
      <c r="AQ37">
        <v>0</v>
      </c>
      <c r="AR37">
        <v>11</v>
      </c>
      <c r="AS37">
        <v>0</v>
      </c>
      <c r="AT37">
        <v>139</v>
      </c>
      <c r="AU37">
        <v>153</v>
      </c>
      <c r="AV37">
        <v>4</v>
      </c>
      <c r="AW37">
        <v>4</v>
      </c>
      <c r="AX37">
        <v>139</v>
      </c>
      <c r="AY37">
        <v>0.946550265021603</v>
      </c>
      <c r="AZ37">
        <v>0.90646712987707101</v>
      </c>
      <c r="BA37">
        <v>0.97996259684744902</v>
      </c>
      <c r="BB37">
        <v>517</v>
      </c>
      <c r="BC37">
        <v>881.28666666666697</v>
      </c>
      <c r="BD37">
        <v>150</v>
      </c>
      <c r="BE37">
        <v>150</v>
      </c>
      <c r="BF37">
        <v>0.96341683225941999</v>
      </c>
      <c r="BG37">
        <v>0.99983122885689002</v>
      </c>
      <c r="BH37">
        <v>0.87257583787396098</v>
      </c>
      <c r="BI37">
        <v>0.96282538521809402</v>
      </c>
      <c r="BJ37">
        <v>0.96341683225941999</v>
      </c>
      <c r="BK37">
        <v>0.87257583787396098</v>
      </c>
      <c r="BL37">
        <v>1</v>
      </c>
      <c r="BM37">
        <v>0.96453900709219897</v>
      </c>
      <c r="BN37">
        <v>2</v>
      </c>
      <c r="BO37" t="s">
        <v>159</v>
      </c>
      <c r="BP37" t="s">
        <v>127</v>
      </c>
      <c r="BQ37" t="s">
        <v>82</v>
      </c>
      <c r="BR37" t="s">
        <v>89</v>
      </c>
      <c r="BS37" t="s">
        <v>86</v>
      </c>
      <c r="BT37">
        <v>0.26</v>
      </c>
      <c r="BU37" t="s">
        <v>138</v>
      </c>
      <c r="BV37" t="s">
        <v>373</v>
      </c>
      <c r="BW37">
        <v>0.998</v>
      </c>
      <c r="BX37">
        <v>0.82599999999999996</v>
      </c>
      <c r="BY37">
        <v>0.997</v>
      </c>
      <c r="BZ37">
        <v>0.90200000000000002</v>
      </c>
      <c r="CA37">
        <v>0.90400000000000003</v>
      </c>
      <c r="CB37">
        <v>0.871</v>
      </c>
      <c r="CC37">
        <v>0.94699999999999995</v>
      </c>
    </row>
    <row r="38" spans="1:81" x14ac:dyDescent="0.2">
      <c r="A38" t="s">
        <v>158</v>
      </c>
      <c r="B38" t="s">
        <v>126</v>
      </c>
      <c r="C38" t="s">
        <v>82</v>
      </c>
      <c r="D38" t="s">
        <v>106</v>
      </c>
      <c r="E38" t="s">
        <v>89</v>
      </c>
      <c r="F38">
        <v>308</v>
      </c>
      <c r="G38">
        <v>1000</v>
      </c>
      <c r="H38">
        <v>0.308</v>
      </c>
      <c r="I38">
        <v>0.96471403364891695</v>
      </c>
      <c r="J38">
        <v>0.93058734187228898</v>
      </c>
      <c r="K38">
        <v>0.99225916148373505</v>
      </c>
      <c r="L38">
        <v>0.97637806637806601</v>
      </c>
      <c r="M38">
        <v>0.93400571060145499</v>
      </c>
      <c r="N38">
        <v>1</v>
      </c>
      <c r="O38">
        <v>0.97872340425531901</v>
      </c>
      <c r="P38">
        <v>0.95199310344827603</v>
      </c>
      <c r="Q38">
        <v>1</v>
      </c>
      <c r="R38">
        <v>0.95332539335421995</v>
      </c>
      <c r="S38">
        <v>0.90032285745367302</v>
      </c>
      <c r="T38">
        <v>1</v>
      </c>
      <c r="U38">
        <v>0.98937180236489397</v>
      </c>
      <c r="V38">
        <v>0.97084338925542002</v>
      </c>
      <c r="W38">
        <v>1</v>
      </c>
      <c r="X38">
        <v>0.308</v>
      </c>
      <c r="Y38">
        <v>0.308</v>
      </c>
      <c r="Z38">
        <v>0.308</v>
      </c>
      <c r="AA38">
        <v>0.94887906394508104</v>
      </c>
      <c r="AB38">
        <v>0.90004508838657804</v>
      </c>
      <c r="AC38">
        <v>0.98883744111357896</v>
      </c>
      <c r="AD38">
        <v>0.97123901056495099</v>
      </c>
      <c r="AE38">
        <v>0.94256249616288901</v>
      </c>
      <c r="AF38">
        <v>0.99464508759426296</v>
      </c>
      <c r="AG38">
        <v>0.98983873776436604</v>
      </c>
      <c r="AH38">
        <v>0.97074239759310998</v>
      </c>
      <c r="AI38">
        <v>1</v>
      </c>
      <c r="AJ38">
        <v>300</v>
      </c>
      <c r="AK38">
        <v>160</v>
      </c>
      <c r="AL38">
        <v>140</v>
      </c>
      <c r="AM38">
        <v>149</v>
      </c>
      <c r="AN38">
        <v>8</v>
      </c>
      <c r="AO38">
        <v>1</v>
      </c>
      <c r="AP38">
        <v>1</v>
      </c>
      <c r="AQ38">
        <v>0</v>
      </c>
      <c r="AR38">
        <v>3</v>
      </c>
      <c r="AS38">
        <v>0</v>
      </c>
      <c r="AT38">
        <v>138</v>
      </c>
      <c r="AU38">
        <v>153</v>
      </c>
      <c r="AV38">
        <v>4</v>
      </c>
      <c r="AW38">
        <v>4</v>
      </c>
      <c r="AX38">
        <v>139</v>
      </c>
      <c r="AY38">
        <v>0.946550265021603</v>
      </c>
      <c r="AZ38">
        <v>0.90633363068688699</v>
      </c>
      <c r="BA38">
        <v>0.97995009802174304</v>
      </c>
      <c r="BB38">
        <v>517</v>
      </c>
      <c r="BC38">
        <v>881.28666666666697</v>
      </c>
      <c r="BD38">
        <v>159</v>
      </c>
      <c r="BE38">
        <v>141</v>
      </c>
      <c r="BF38">
        <v>0.93684239379312695</v>
      </c>
      <c r="BG38">
        <v>0.99310389550372002</v>
      </c>
      <c r="BH38">
        <v>0.93908113846032304</v>
      </c>
      <c r="BI38">
        <v>0.99559057680495</v>
      </c>
      <c r="BJ38">
        <v>0.93400571060145499</v>
      </c>
      <c r="BK38">
        <v>0.93908113846032304</v>
      </c>
      <c r="BL38">
        <v>1</v>
      </c>
      <c r="BM38">
        <v>1</v>
      </c>
      <c r="BN38">
        <v>2</v>
      </c>
      <c r="BO38" t="s">
        <v>159</v>
      </c>
      <c r="BP38" t="s">
        <v>127</v>
      </c>
      <c r="BQ38" t="s">
        <v>82</v>
      </c>
      <c r="BR38" t="s">
        <v>106</v>
      </c>
      <c r="BS38" t="s">
        <v>86</v>
      </c>
      <c r="BT38">
        <v>0.308</v>
      </c>
      <c r="BU38" t="s">
        <v>163</v>
      </c>
      <c r="BV38" t="s">
        <v>161</v>
      </c>
      <c r="BW38">
        <v>0.99</v>
      </c>
      <c r="BX38">
        <v>0.95299999999999996</v>
      </c>
      <c r="BY38">
        <v>0.98899999999999999</v>
      </c>
      <c r="BZ38">
        <v>0.96499999999999997</v>
      </c>
      <c r="CA38">
        <v>0.97099999999999997</v>
      </c>
      <c r="CB38">
        <v>0.94899999999999995</v>
      </c>
      <c r="CC38">
        <v>0.94699999999999995</v>
      </c>
    </row>
    <row r="39" spans="1:81" x14ac:dyDescent="0.2">
      <c r="A39" t="s">
        <v>158</v>
      </c>
      <c r="B39" t="s">
        <v>126</v>
      </c>
      <c r="C39" t="s">
        <v>82</v>
      </c>
      <c r="D39" t="s">
        <v>108</v>
      </c>
      <c r="E39" t="s">
        <v>89</v>
      </c>
      <c r="F39">
        <v>258</v>
      </c>
      <c r="G39">
        <v>1000</v>
      </c>
      <c r="H39">
        <v>0.25800000000000001</v>
      </c>
      <c r="I39">
        <v>0.90129419487949003</v>
      </c>
      <c r="J39">
        <v>0.851964169834458</v>
      </c>
      <c r="K39">
        <v>0.94952837885278096</v>
      </c>
      <c r="L39">
        <v>0.99333333333333296</v>
      </c>
      <c r="M39">
        <v>0.97857142857142898</v>
      </c>
      <c r="N39">
        <v>1</v>
      </c>
      <c r="O39">
        <v>0.92666666666666697</v>
      </c>
      <c r="P39">
        <v>0.88275862068965505</v>
      </c>
      <c r="Q39">
        <v>0.965753424657534</v>
      </c>
      <c r="R39">
        <v>0.82486481847051796</v>
      </c>
      <c r="S39">
        <v>0.74660291897332698</v>
      </c>
      <c r="T39">
        <v>0.90980603690614104</v>
      </c>
      <c r="U39">
        <v>0.99750473906147197</v>
      </c>
      <c r="V39">
        <v>0.99200538778640801</v>
      </c>
      <c r="W39">
        <v>1</v>
      </c>
      <c r="X39">
        <v>0.25800000000000001</v>
      </c>
      <c r="Y39">
        <v>0.25800000000000001</v>
      </c>
      <c r="Z39">
        <v>0.25800000000000001</v>
      </c>
      <c r="AA39">
        <v>0.86981606844748005</v>
      </c>
      <c r="AB39">
        <v>0.80643761672441405</v>
      </c>
      <c r="AC39">
        <v>0.93263129113998999</v>
      </c>
      <c r="AD39">
        <v>0.90324250548943597</v>
      </c>
      <c r="AE39">
        <v>0.85409442558076698</v>
      </c>
      <c r="AF39">
        <v>0.95172662883037096</v>
      </c>
      <c r="AG39">
        <v>0.99807877983989901</v>
      </c>
      <c r="AH39">
        <v>0.99366058557151304</v>
      </c>
      <c r="AI39">
        <v>1</v>
      </c>
      <c r="AJ39">
        <v>300</v>
      </c>
      <c r="AK39">
        <v>160</v>
      </c>
      <c r="AL39">
        <v>140</v>
      </c>
      <c r="AM39">
        <v>149</v>
      </c>
      <c r="AN39">
        <v>0</v>
      </c>
      <c r="AO39">
        <v>1</v>
      </c>
      <c r="AP39">
        <v>0</v>
      </c>
      <c r="AQ39">
        <v>0</v>
      </c>
      <c r="AR39">
        <v>11</v>
      </c>
      <c r="AS39">
        <v>0</v>
      </c>
      <c r="AT39">
        <v>139</v>
      </c>
      <c r="AU39">
        <v>153</v>
      </c>
      <c r="AV39">
        <v>4</v>
      </c>
      <c r="AW39">
        <v>4</v>
      </c>
      <c r="AX39">
        <v>139</v>
      </c>
      <c r="AY39">
        <v>0.946550265021603</v>
      </c>
      <c r="AZ39">
        <v>0.90657947417589702</v>
      </c>
      <c r="BA39">
        <v>0.97997329773030695</v>
      </c>
      <c r="BB39">
        <v>517</v>
      </c>
      <c r="BC39">
        <v>881.28666666666697</v>
      </c>
      <c r="BD39">
        <v>150</v>
      </c>
      <c r="BE39">
        <v>150</v>
      </c>
      <c r="BF39">
        <v>0.96341683225941999</v>
      </c>
      <c r="BG39">
        <v>0.99983122885689002</v>
      </c>
      <c r="BH39">
        <v>0.87257583787396098</v>
      </c>
      <c r="BI39">
        <v>0.96282538521809402</v>
      </c>
      <c r="BJ39">
        <v>0.96341683225941999</v>
      </c>
      <c r="BK39">
        <v>0.87257583787396098</v>
      </c>
      <c r="BL39">
        <v>1</v>
      </c>
      <c r="BM39">
        <v>0.965753424657534</v>
      </c>
      <c r="BN39">
        <v>2</v>
      </c>
      <c r="BO39" t="s">
        <v>159</v>
      </c>
      <c r="BP39" t="s">
        <v>127</v>
      </c>
      <c r="BQ39" t="s">
        <v>82</v>
      </c>
      <c r="BR39" t="s">
        <v>108</v>
      </c>
      <c r="BS39" t="s">
        <v>86</v>
      </c>
      <c r="BT39">
        <v>0.25800000000000001</v>
      </c>
      <c r="BU39" t="s">
        <v>138</v>
      </c>
      <c r="BV39" t="s">
        <v>162</v>
      </c>
      <c r="BW39">
        <v>0.998</v>
      </c>
      <c r="BX39">
        <v>0.82499999999999996</v>
      </c>
      <c r="BY39">
        <v>0.998</v>
      </c>
      <c r="BZ39">
        <v>0.90100000000000002</v>
      </c>
      <c r="CA39">
        <v>0.90300000000000002</v>
      </c>
      <c r="CB39">
        <v>0.87</v>
      </c>
      <c r="CC39">
        <v>0.94699999999999995</v>
      </c>
    </row>
    <row r="40" spans="1:81" x14ac:dyDescent="0.2">
      <c r="A40" t="s">
        <v>158</v>
      </c>
      <c r="B40" t="s">
        <v>126</v>
      </c>
      <c r="C40" t="s">
        <v>82</v>
      </c>
      <c r="D40" t="s">
        <v>120</v>
      </c>
      <c r="E40" t="s">
        <v>89</v>
      </c>
      <c r="F40" t="s">
        <v>93</v>
      </c>
      <c r="G40" t="s">
        <v>93</v>
      </c>
      <c r="H40">
        <v>0.300933333333333</v>
      </c>
      <c r="I40">
        <v>0.98109106715931305</v>
      </c>
      <c r="J40">
        <v>0.95582496706873599</v>
      </c>
      <c r="K40">
        <v>1</v>
      </c>
      <c r="L40">
        <v>1</v>
      </c>
      <c r="M40">
        <v>1</v>
      </c>
      <c r="N40">
        <v>1</v>
      </c>
      <c r="O40">
        <v>0.983406446690826</v>
      </c>
      <c r="P40">
        <v>0.96086405620390603</v>
      </c>
      <c r="Q40">
        <v>1</v>
      </c>
      <c r="R40">
        <v>0.96288395904436797</v>
      </c>
      <c r="S40">
        <v>0.91538768590687203</v>
      </c>
      <c r="T40">
        <v>1</v>
      </c>
      <c r="U40">
        <v>1</v>
      </c>
      <c r="V40">
        <v>1</v>
      </c>
      <c r="W40">
        <v>1</v>
      </c>
      <c r="X40">
        <v>0.300933333333333</v>
      </c>
      <c r="Y40">
        <v>0.27423214285714298</v>
      </c>
      <c r="Z40">
        <v>0.331945833333333</v>
      </c>
      <c r="AA40">
        <v>0.97309110197320003</v>
      </c>
      <c r="AB40">
        <v>0.93789365727553198</v>
      </c>
      <c r="AC40">
        <v>1</v>
      </c>
      <c r="AD40">
        <v>0.98109106715931305</v>
      </c>
      <c r="AE40">
        <v>0.95582496706873599</v>
      </c>
      <c r="AF40">
        <v>1</v>
      </c>
      <c r="AG40">
        <v>1</v>
      </c>
      <c r="AH40">
        <v>1</v>
      </c>
      <c r="AI40">
        <v>1</v>
      </c>
      <c r="AJ40">
        <v>300</v>
      </c>
      <c r="AK40">
        <v>160</v>
      </c>
      <c r="AL40">
        <v>140</v>
      </c>
      <c r="AM40">
        <v>148</v>
      </c>
      <c r="AN40">
        <v>9</v>
      </c>
      <c r="AO40">
        <v>0</v>
      </c>
      <c r="AP40">
        <v>0</v>
      </c>
      <c r="AQ40">
        <v>1</v>
      </c>
      <c r="AR40">
        <v>2</v>
      </c>
      <c r="AS40">
        <v>1</v>
      </c>
      <c r="AT40">
        <v>139</v>
      </c>
      <c r="AU40">
        <v>153</v>
      </c>
      <c r="AV40">
        <v>4</v>
      </c>
      <c r="AW40">
        <v>4</v>
      </c>
      <c r="AX40">
        <v>139</v>
      </c>
      <c r="AY40">
        <v>0.946550265021603</v>
      </c>
      <c r="AZ40">
        <v>0.90646702572483995</v>
      </c>
      <c r="BA40">
        <v>0.97996259684744902</v>
      </c>
      <c r="BB40">
        <v>517</v>
      </c>
      <c r="BC40">
        <v>881.28666666666697</v>
      </c>
      <c r="BD40">
        <v>157</v>
      </c>
      <c r="BE40">
        <v>143</v>
      </c>
      <c r="BF40">
        <v>0.97677783539667495</v>
      </c>
      <c r="BG40">
        <v>1</v>
      </c>
      <c r="BH40">
        <v>0.95039229027458605</v>
      </c>
      <c r="BI40">
        <v>0.99830171817212099</v>
      </c>
      <c r="BJ40">
        <v>0.97677783539667495</v>
      </c>
      <c r="BK40">
        <v>0.95039229027458605</v>
      </c>
      <c r="BL40">
        <v>1</v>
      </c>
      <c r="BM40">
        <v>1</v>
      </c>
      <c r="BN40">
        <v>2</v>
      </c>
      <c r="BO40" t="s">
        <v>159</v>
      </c>
      <c r="BP40" t="s">
        <v>127</v>
      </c>
      <c r="BQ40" t="s">
        <v>82</v>
      </c>
      <c r="BR40" t="s">
        <v>120</v>
      </c>
      <c r="BS40" t="s">
        <v>86</v>
      </c>
      <c r="BT40">
        <v>0.30099999999999999</v>
      </c>
      <c r="BU40" t="s">
        <v>88</v>
      </c>
      <c r="BV40" t="s">
        <v>137</v>
      </c>
      <c r="BW40">
        <v>1</v>
      </c>
      <c r="BX40">
        <v>0.96299999999999997</v>
      </c>
      <c r="BY40">
        <v>1</v>
      </c>
      <c r="BZ40">
        <v>0.98099999999999998</v>
      </c>
      <c r="CA40">
        <v>0.98099999999999998</v>
      </c>
      <c r="CB40">
        <v>0.97299999999999998</v>
      </c>
      <c r="CC40">
        <v>0.94699999999999995</v>
      </c>
    </row>
    <row r="41" spans="1:81" x14ac:dyDescent="0.2">
      <c r="A41" t="s">
        <v>158</v>
      </c>
      <c r="B41" t="s">
        <v>126</v>
      </c>
      <c r="C41" t="s">
        <v>82</v>
      </c>
      <c r="D41" t="s">
        <v>123</v>
      </c>
      <c r="E41" t="s">
        <v>89</v>
      </c>
      <c r="F41" t="s">
        <v>93</v>
      </c>
      <c r="G41" t="s">
        <v>93</v>
      </c>
      <c r="H41">
        <v>0.30733333333333301</v>
      </c>
      <c r="I41">
        <v>0.98601849860184998</v>
      </c>
      <c r="J41">
        <v>0.97219311699729305</v>
      </c>
      <c r="K41">
        <v>0.99714332800495598</v>
      </c>
      <c r="L41">
        <v>0.994360086767896</v>
      </c>
      <c r="M41">
        <v>0.98119837911452301</v>
      </c>
      <c r="N41">
        <v>1</v>
      </c>
      <c r="O41">
        <v>0.98999037536092405</v>
      </c>
      <c r="P41">
        <v>0.97929172277800902</v>
      </c>
      <c r="Q41">
        <v>0.997654082779034</v>
      </c>
      <c r="R41">
        <v>0.97781569965870296</v>
      </c>
      <c r="S41">
        <v>0.953382903549017</v>
      </c>
      <c r="T41">
        <v>0.99493503808660499</v>
      </c>
      <c r="U41">
        <v>0.99747866563227305</v>
      </c>
      <c r="V41">
        <v>0.99181642743625997</v>
      </c>
      <c r="W41">
        <v>1</v>
      </c>
      <c r="X41">
        <v>0.30733333333333301</v>
      </c>
      <c r="Y41">
        <v>0.27805160763064801</v>
      </c>
      <c r="Z41">
        <v>0.340696750874113</v>
      </c>
      <c r="AA41">
        <v>0.97981195093028295</v>
      </c>
      <c r="AB41">
        <v>0.96053276498852602</v>
      </c>
      <c r="AC41">
        <v>0.99586027628218698</v>
      </c>
      <c r="AD41">
        <v>0.98758195701099905</v>
      </c>
      <c r="AE41">
        <v>0.97493329767898296</v>
      </c>
      <c r="AF41">
        <v>0.99727148703956403</v>
      </c>
      <c r="AG41">
        <v>0.99754526996500803</v>
      </c>
      <c r="AH41">
        <v>0.99190188603509799</v>
      </c>
      <c r="AI41">
        <v>1</v>
      </c>
      <c r="AJ41">
        <v>300</v>
      </c>
      <c r="AK41">
        <v>160</v>
      </c>
      <c r="AL41">
        <v>140</v>
      </c>
      <c r="AM41">
        <v>145</v>
      </c>
      <c r="AN41">
        <v>11</v>
      </c>
      <c r="AO41">
        <v>1</v>
      </c>
      <c r="AP41">
        <v>0</v>
      </c>
      <c r="AQ41">
        <v>4</v>
      </c>
      <c r="AR41">
        <v>0</v>
      </c>
      <c r="AS41">
        <v>0</v>
      </c>
      <c r="AT41">
        <v>139</v>
      </c>
      <c r="AU41">
        <v>153</v>
      </c>
      <c r="AV41">
        <v>4</v>
      </c>
      <c r="AW41">
        <v>4</v>
      </c>
      <c r="AX41">
        <v>139</v>
      </c>
      <c r="AY41">
        <v>0.946550265021603</v>
      </c>
      <c r="AZ41">
        <v>0.90647962591850395</v>
      </c>
      <c r="BA41">
        <v>0.97996259684744902</v>
      </c>
      <c r="BB41">
        <v>517</v>
      </c>
      <c r="BC41">
        <v>881.28666666666697</v>
      </c>
      <c r="BD41">
        <v>157</v>
      </c>
      <c r="BE41">
        <v>143</v>
      </c>
      <c r="BF41">
        <v>0.96502422496329499</v>
      </c>
      <c r="BG41">
        <v>0.99983875307821601</v>
      </c>
      <c r="BH41">
        <v>0.961654597003606</v>
      </c>
      <c r="BI41">
        <v>0.99982296806372095</v>
      </c>
      <c r="BJ41">
        <v>0.96502422496329499</v>
      </c>
      <c r="BK41">
        <v>0.961654597003606</v>
      </c>
      <c r="BL41">
        <v>1</v>
      </c>
      <c r="BM41">
        <v>0.99982296806372095</v>
      </c>
      <c r="BN41">
        <v>2</v>
      </c>
      <c r="BO41" t="s">
        <v>159</v>
      </c>
      <c r="BP41" t="s">
        <v>127</v>
      </c>
      <c r="BQ41" t="s">
        <v>82</v>
      </c>
      <c r="BR41" t="s">
        <v>123</v>
      </c>
      <c r="BS41" t="s">
        <v>86</v>
      </c>
      <c r="BT41">
        <v>0.307</v>
      </c>
      <c r="BU41" t="s">
        <v>164</v>
      </c>
      <c r="BV41" t="s">
        <v>165</v>
      </c>
      <c r="BW41">
        <v>0.998</v>
      </c>
      <c r="BX41">
        <v>0.97799999999999998</v>
      </c>
      <c r="BY41">
        <v>0.997</v>
      </c>
      <c r="BZ41">
        <v>0.98599999999999999</v>
      </c>
      <c r="CA41">
        <v>0.98799999999999999</v>
      </c>
      <c r="CB41">
        <v>0.98</v>
      </c>
      <c r="CC41">
        <v>0.94699999999999995</v>
      </c>
    </row>
    <row r="42" spans="1:81" x14ac:dyDescent="0.2">
      <c r="A42" t="s">
        <v>166</v>
      </c>
      <c r="B42" t="s">
        <v>126</v>
      </c>
      <c r="C42" t="s">
        <v>82</v>
      </c>
      <c r="D42" t="s">
        <v>83</v>
      </c>
      <c r="E42" t="s">
        <v>89</v>
      </c>
      <c r="F42">
        <v>751</v>
      </c>
      <c r="G42">
        <v>838</v>
      </c>
      <c r="H42">
        <v>0.89618138424821003</v>
      </c>
      <c r="I42">
        <v>0.99241274082655895</v>
      </c>
      <c r="J42">
        <v>0.98179408533048595</v>
      </c>
      <c r="K42">
        <v>0.99962889708741898</v>
      </c>
      <c r="L42">
        <v>0.9857212605415</v>
      </c>
      <c r="M42">
        <v>0.96517336295370304</v>
      </c>
      <c r="N42">
        <v>1</v>
      </c>
      <c r="O42">
        <v>0.99315068493150704</v>
      </c>
      <c r="P42">
        <v>0.97794117647058798</v>
      </c>
      <c r="Q42">
        <v>1</v>
      </c>
      <c r="R42">
        <v>0.99919569107363204</v>
      </c>
      <c r="S42">
        <v>0.99740057132270998</v>
      </c>
      <c r="T42">
        <v>1</v>
      </c>
      <c r="U42">
        <v>0.88959522653238599</v>
      </c>
      <c r="V42">
        <v>0.76691014687015202</v>
      </c>
      <c r="W42">
        <v>1</v>
      </c>
      <c r="X42">
        <v>0.89618138424821003</v>
      </c>
      <c r="Y42">
        <v>0.89618138424821003</v>
      </c>
      <c r="Z42">
        <v>0.89618138424821003</v>
      </c>
      <c r="AA42">
        <v>0.93274460311263196</v>
      </c>
      <c r="AB42">
        <v>0.85644038868050998</v>
      </c>
      <c r="AC42">
        <v>0.996420387707047</v>
      </c>
      <c r="AD42">
        <v>0.94084594229048502</v>
      </c>
      <c r="AE42">
        <v>0.86492874424490895</v>
      </c>
      <c r="AF42">
        <v>0.99961655258738802</v>
      </c>
      <c r="AG42">
        <v>0.88893505287874697</v>
      </c>
      <c r="AH42">
        <v>0.76279506445914103</v>
      </c>
      <c r="AI42">
        <v>1</v>
      </c>
      <c r="AJ42">
        <v>300</v>
      </c>
      <c r="AK42">
        <v>152</v>
      </c>
      <c r="AL42">
        <v>148</v>
      </c>
      <c r="AM42">
        <v>148</v>
      </c>
      <c r="AN42">
        <v>3</v>
      </c>
      <c r="AO42">
        <v>2</v>
      </c>
      <c r="AP42">
        <v>1</v>
      </c>
      <c r="AQ42">
        <v>0</v>
      </c>
      <c r="AR42">
        <v>1</v>
      </c>
      <c r="AS42">
        <v>0</v>
      </c>
      <c r="AT42">
        <v>145</v>
      </c>
      <c r="AU42">
        <v>148</v>
      </c>
      <c r="AV42">
        <v>5</v>
      </c>
      <c r="AW42">
        <v>2</v>
      </c>
      <c r="AX42">
        <v>145</v>
      </c>
      <c r="AY42">
        <v>0.95333333333333303</v>
      </c>
      <c r="AZ42">
        <v>0.91886364010484001</v>
      </c>
      <c r="BA42">
        <v>0.98658078368223301</v>
      </c>
      <c r="BB42">
        <v>363.5</v>
      </c>
      <c r="BC42">
        <v>587.79</v>
      </c>
      <c r="BD42">
        <v>154</v>
      </c>
      <c r="BE42">
        <v>146</v>
      </c>
      <c r="BF42">
        <v>0.95387554904439797</v>
      </c>
      <c r="BG42">
        <v>0.99842332460439498</v>
      </c>
      <c r="BH42">
        <v>0.96243020690661496</v>
      </c>
      <c r="BI42">
        <v>0.99982660539085499</v>
      </c>
      <c r="BJ42">
        <v>0.95387554904439797</v>
      </c>
      <c r="BK42">
        <v>0.96243020690661496</v>
      </c>
      <c r="BL42">
        <v>1</v>
      </c>
      <c r="BM42">
        <v>1</v>
      </c>
      <c r="BN42">
        <v>3</v>
      </c>
      <c r="BO42" t="s">
        <v>167</v>
      </c>
      <c r="BP42" t="s">
        <v>127</v>
      </c>
      <c r="BQ42" t="s">
        <v>82</v>
      </c>
      <c r="BR42" t="s">
        <v>83</v>
      </c>
      <c r="BS42" t="s">
        <v>86</v>
      </c>
      <c r="BT42">
        <v>0.89600000000000002</v>
      </c>
      <c r="BU42" t="s">
        <v>134</v>
      </c>
      <c r="BV42" t="s">
        <v>138</v>
      </c>
      <c r="BW42">
        <v>0.88900000000000001</v>
      </c>
      <c r="BX42">
        <v>0.999</v>
      </c>
      <c r="BY42">
        <v>0.89</v>
      </c>
      <c r="BZ42">
        <v>0.99199999999999999</v>
      </c>
      <c r="CA42">
        <v>0.94099999999999995</v>
      </c>
      <c r="CB42">
        <v>0.93300000000000005</v>
      </c>
      <c r="CC42">
        <v>0.95299999999999996</v>
      </c>
    </row>
    <row r="43" spans="1:81" x14ac:dyDescent="0.2">
      <c r="A43" t="s">
        <v>166</v>
      </c>
      <c r="B43" t="s">
        <v>126</v>
      </c>
      <c r="C43" t="s">
        <v>82</v>
      </c>
      <c r="D43" t="s">
        <v>89</v>
      </c>
      <c r="E43" t="s">
        <v>89</v>
      </c>
      <c r="F43">
        <v>750</v>
      </c>
      <c r="G43">
        <v>838</v>
      </c>
      <c r="H43">
        <v>0.89498806682577603</v>
      </c>
      <c r="I43">
        <v>0.99172667655415203</v>
      </c>
      <c r="J43">
        <v>0.98096630897929105</v>
      </c>
      <c r="K43">
        <v>0.99918584856783399</v>
      </c>
      <c r="L43">
        <v>0.98666666666666702</v>
      </c>
      <c r="M43">
        <v>0.965753424657534</v>
      </c>
      <c r="N43">
        <v>1</v>
      </c>
      <c r="O43">
        <v>0.97333333333333305</v>
      </c>
      <c r="P43">
        <v>0.94374999999999998</v>
      </c>
      <c r="Q43">
        <v>0.99375000000000002</v>
      </c>
      <c r="R43">
        <v>0.99683885336590305</v>
      </c>
      <c r="S43">
        <v>0.99338666289264199</v>
      </c>
      <c r="T43">
        <v>0.99925735041886399</v>
      </c>
      <c r="U43">
        <v>0.89545581265681595</v>
      </c>
      <c r="V43">
        <v>0.76941885110908004</v>
      </c>
      <c r="W43">
        <v>1</v>
      </c>
      <c r="X43">
        <v>0.89498806682577603</v>
      </c>
      <c r="Y43">
        <v>0.89498806682577603</v>
      </c>
      <c r="Z43">
        <v>0.89498806682577603</v>
      </c>
      <c r="AA43">
        <v>0.92552843250859196</v>
      </c>
      <c r="AB43">
        <v>0.84710068674176997</v>
      </c>
      <c r="AC43">
        <v>0.992223124994425</v>
      </c>
      <c r="AD43">
        <v>0.94429638772856295</v>
      </c>
      <c r="AE43">
        <v>0.86805343639011001</v>
      </c>
      <c r="AF43">
        <v>0.99918584856783399</v>
      </c>
      <c r="AG43">
        <v>0.89701551889165598</v>
      </c>
      <c r="AH43">
        <v>0.76902924327033795</v>
      </c>
      <c r="AI43">
        <v>1</v>
      </c>
      <c r="AJ43">
        <v>300</v>
      </c>
      <c r="AK43">
        <v>152</v>
      </c>
      <c r="AL43">
        <v>148</v>
      </c>
      <c r="AM43">
        <v>148</v>
      </c>
      <c r="AN43">
        <v>0</v>
      </c>
      <c r="AO43">
        <v>2</v>
      </c>
      <c r="AP43">
        <v>0</v>
      </c>
      <c r="AQ43">
        <v>0</v>
      </c>
      <c r="AR43">
        <v>4</v>
      </c>
      <c r="AS43">
        <v>0</v>
      </c>
      <c r="AT43">
        <v>146</v>
      </c>
      <c r="AU43">
        <v>148</v>
      </c>
      <c r="AV43">
        <v>5</v>
      </c>
      <c r="AW43">
        <v>2</v>
      </c>
      <c r="AX43">
        <v>145</v>
      </c>
      <c r="AY43">
        <v>0.95333333333333303</v>
      </c>
      <c r="AZ43">
        <v>0.91337183474011596</v>
      </c>
      <c r="BA43">
        <v>0.98659517426273502</v>
      </c>
      <c r="BB43">
        <v>363.5</v>
      </c>
      <c r="BC43">
        <v>587.79</v>
      </c>
      <c r="BD43">
        <v>150</v>
      </c>
      <c r="BE43">
        <v>150</v>
      </c>
      <c r="BF43">
        <v>0.95266698050366405</v>
      </c>
      <c r="BG43">
        <v>0.99838117297016005</v>
      </c>
      <c r="BH43">
        <v>0.93313212332251105</v>
      </c>
      <c r="BI43">
        <v>0.99268745360199195</v>
      </c>
      <c r="BJ43">
        <v>0.95266698050366405</v>
      </c>
      <c r="BK43">
        <v>0.93313212332251105</v>
      </c>
      <c r="BL43">
        <v>1</v>
      </c>
      <c r="BM43">
        <v>0.99375000000000002</v>
      </c>
      <c r="BN43">
        <v>3</v>
      </c>
      <c r="BO43" t="s">
        <v>167</v>
      </c>
      <c r="BP43" t="s">
        <v>127</v>
      </c>
      <c r="BQ43" t="s">
        <v>82</v>
      </c>
      <c r="BR43" t="s">
        <v>89</v>
      </c>
      <c r="BS43" t="s">
        <v>86</v>
      </c>
      <c r="BT43">
        <v>0.89500000000000002</v>
      </c>
      <c r="BU43" t="s">
        <v>91</v>
      </c>
      <c r="BV43" t="s">
        <v>168</v>
      </c>
      <c r="BW43">
        <v>0.89700000000000002</v>
      </c>
      <c r="BX43">
        <v>0.997</v>
      </c>
      <c r="BY43">
        <v>0.89500000000000002</v>
      </c>
      <c r="BZ43">
        <v>0.99199999999999999</v>
      </c>
      <c r="CA43">
        <v>0.94399999999999995</v>
      </c>
      <c r="CB43">
        <v>0.92600000000000005</v>
      </c>
      <c r="CC43">
        <v>0.95299999999999996</v>
      </c>
    </row>
    <row r="44" spans="1:81" x14ac:dyDescent="0.2">
      <c r="A44" t="s">
        <v>166</v>
      </c>
      <c r="B44" t="s">
        <v>126</v>
      </c>
      <c r="C44" t="s">
        <v>82</v>
      </c>
      <c r="D44" t="s">
        <v>106</v>
      </c>
      <c r="E44" t="s">
        <v>89</v>
      </c>
      <c r="F44">
        <v>753</v>
      </c>
      <c r="G44">
        <v>838</v>
      </c>
      <c r="H44">
        <v>0.89856801909307904</v>
      </c>
      <c r="I44">
        <v>0.99210522273803103</v>
      </c>
      <c r="J44">
        <v>0.98146014984680996</v>
      </c>
      <c r="K44">
        <v>0.99962635884496498</v>
      </c>
      <c r="L44">
        <v>0.98509517485613096</v>
      </c>
      <c r="M44">
        <v>0.96426762972092495</v>
      </c>
      <c r="N44">
        <v>1</v>
      </c>
      <c r="O44">
        <v>0.99315068493150704</v>
      </c>
      <c r="P44">
        <v>0.97777777777777797</v>
      </c>
      <c r="Q44">
        <v>1</v>
      </c>
      <c r="R44">
        <v>0.99921575424850495</v>
      </c>
      <c r="S44">
        <v>0.99746677732825095</v>
      </c>
      <c r="T44">
        <v>1</v>
      </c>
      <c r="U44">
        <v>0.88265161675040105</v>
      </c>
      <c r="V44">
        <v>0.758401204251966</v>
      </c>
      <c r="W44">
        <v>1</v>
      </c>
      <c r="X44">
        <v>0.89856801909307904</v>
      </c>
      <c r="Y44">
        <v>0.89856801909307904</v>
      </c>
      <c r="Z44">
        <v>0.89856801909307904</v>
      </c>
      <c r="AA44">
        <v>0.92880735600095699</v>
      </c>
      <c r="AB44">
        <v>0.851970836493123</v>
      </c>
      <c r="AC44">
        <v>0.99631090894651397</v>
      </c>
      <c r="AD44">
        <v>0.93689244402064598</v>
      </c>
      <c r="AE44">
        <v>0.85881937320535995</v>
      </c>
      <c r="AF44">
        <v>0.99962393109095504</v>
      </c>
      <c r="AG44">
        <v>0.88188717818274798</v>
      </c>
      <c r="AH44">
        <v>0.75299372262306796</v>
      </c>
      <c r="AI44">
        <v>1</v>
      </c>
      <c r="AJ44">
        <v>300</v>
      </c>
      <c r="AK44">
        <v>152</v>
      </c>
      <c r="AL44">
        <v>148</v>
      </c>
      <c r="AM44">
        <v>148</v>
      </c>
      <c r="AN44">
        <v>3</v>
      </c>
      <c r="AO44">
        <v>2</v>
      </c>
      <c r="AP44">
        <v>1</v>
      </c>
      <c r="AQ44">
        <v>0</v>
      </c>
      <c r="AR44">
        <v>1</v>
      </c>
      <c r="AS44">
        <v>0</v>
      </c>
      <c r="AT44">
        <v>145</v>
      </c>
      <c r="AU44">
        <v>148</v>
      </c>
      <c r="AV44">
        <v>5</v>
      </c>
      <c r="AW44">
        <v>2</v>
      </c>
      <c r="AX44">
        <v>145</v>
      </c>
      <c r="AY44">
        <v>0.95333333333333303</v>
      </c>
      <c r="AZ44">
        <v>0.91908293998651402</v>
      </c>
      <c r="BA44">
        <v>0.98659517426273502</v>
      </c>
      <c r="BB44">
        <v>363.5</v>
      </c>
      <c r="BC44">
        <v>587.79</v>
      </c>
      <c r="BD44">
        <v>154</v>
      </c>
      <c r="BE44">
        <v>146</v>
      </c>
      <c r="BF44">
        <v>0.95387554904439797</v>
      </c>
      <c r="BG44">
        <v>0.99842332460439498</v>
      </c>
      <c r="BH44">
        <v>0.96243020690661496</v>
      </c>
      <c r="BI44">
        <v>0.99982660539085499</v>
      </c>
      <c r="BJ44">
        <v>0.95387554904439797</v>
      </c>
      <c r="BK44">
        <v>0.96243020690661496</v>
      </c>
      <c r="BL44">
        <v>1</v>
      </c>
      <c r="BM44">
        <v>1</v>
      </c>
      <c r="BN44">
        <v>3</v>
      </c>
      <c r="BO44" t="s">
        <v>167</v>
      </c>
      <c r="BP44" t="s">
        <v>127</v>
      </c>
      <c r="BQ44" t="s">
        <v>82</v>
      </c>
      <c r="BR44" t="s">
        <v>106</v>
      </c>
      <c r="BS44" t="s">
        <v>86</v>
      </c>
      <c r="BT44">
        <v>0.89900000000000002</v>
      </c>
      <c r="BU44" t="s">
        <v>169</v>
      </c>
      <c r="BV44" t="s">
        <v>138</v>
      </c>
      <c r="BW44">
        <v>0.88200000000000001</v>
      </c>
      <c r="BX44">
        <v>0.999</v>
      </c>
      <c r="BY44">
        <v>0.88300000000000001</v>
      </c>
      <c r="BZ44">
        <v>0.99199999999999999</v>
      </c>
      <c r="CA44">
        <v>0.93700000000000006</v>
      </c>
      <c r="CB44">
        <v>0.92900000000000005</v>
      </c>
      <c r="CC44">
        <v>0.95299999999999996</v>
      </c>
    </row>
    <row r="45" spans="1:81" x14ac:dyDescent="0.2">
      <c r="A45" t="s">
        <v>166</v>
      </c>
      <c r="B45" t="s">
        <v>126</v>
      </c>
      <c r="C45" t="s">
        <v>82</v>
      </c>
      <c r="D45" t="s">
        <v>108</v>
      </c>
      <c r="E45" t="s">
        <v>89</v>
      </c>
      <c r="F45">
        <v>748</v>
      </c>
      <c r="G45">
        <v>838</v>
      </c>
      <c r="H45">
        <v>0.89260143198090702</v>
      </c>
      <c r="I45">
        <v>0.99168697147771201</v>
      </c>
      <c r="J45">
        <v>0.98074876330995897</v>
      </c>
      <c r="K45">
        <v>0.99918768164340999</v>
      </c>
      <c r="L45">
        <v>0.98666666666666702</v>
      </c>
      <c r="M45">
        <v>0.96551724137931005</v>
      </c>
      <c r="N45">
        <v>1</v>
      </c>
      <c r="O45">
        <v>0.97333333333333305</v>
      </c>
      <c r="P45">
        <v>0.94594594594594605</v>
      </c>
      <c r="Q45">
        <v>0.993670886075949</v>
      </c>
      <c r="R45">
        <v>0.99675862565727902</v>
      </c>
      <c r="S45">
        <v>0.99345007747262704</v>
      </c>
      <c r="T45">
        <v>0.99923113897891902</v>
      </c>
      <c r="U45">
        <v>0.89778628040448205</v>
      </c>
      <c r="V45">
        <v>0.77266063574927601</v>
      </c>
      <c r="W45">
        <v>1</v>
      </c>
      <c r="X45">
        <v>0.89260143198090702</v>
      </c>
      <c r="Y45">
        <v>0.89260143198090702</v>
      </c>
      <c r="Z45">
        <v>0.89260143198090702</v>
      </c>
      <c r="AA45">
        <v>0.92669472309887002</v>
      </c>
      <c r="AB45">
        <v>0.84749842801765396</v>
      </c>
      <c r="AC45">
        <v>0.99241377718920099</v>
      </c>
      <c r="AD45">
        <v>0.94553698410590403</v>
      </c>
      <c r="AE45">
        <v>0.87033836168569001</v>
      </c>
      <c r="AF45">
        <v>0.99918768164340999</v>
      </c>
      <c r="AG45">
        <v>0.89932241500677301</v>
      </c>
      <c r="AH45">
        <v>0.77249959524989598</v>
      </c>
      <c r="AI45">
        <v>1</v>
      </c>
      <c r="AJ45">
        <v>300</v>
      </c>
      <c r="AK45">
        <v>152</v>
      </c>
      <c r="AL45">
        <v>148</v>
      </c>
      <c r="AM45">
        <v>148</v>
      </c>
      <c r="AN45">
        <v>0</v>
      </c>
      <c r="AO45">
        <v>2</v>
      </c>
      <c r="AP45">
        <v>0</v>
      </c>
      <c r="AQ45">
        <v>0</v>
      </c>
      <c r="AR45">
        <v>4</v>
      </c>
      <c r="AS45">
        <v>0</v>
      </c>
      <c r="AT45">
        <v>146</v>
      </c>
      <c r="AU45">
        <v>148</v>
      </c>
      <c r="AV45">
        <v>5</v>
      </c>
      <c r="AW45">
        <v>2</v>
      </c>
      <c r="AX45">
        <v>145</v>
      </c>
      <c r="AY45">
        <v>0.95333333333333303</v>
      </c>
      <c r="AZ45">
        <v>0.913410301953819</v>
      </c>
      <c r="BA45">
        <v>0.98656672270865997</v>
      </c>
      <c r="BB45">
        <v>363.5</v>
      </c>
      <c r="BC45">
        <v>587.79</v>
      </c>
      <c r="BD45">
        <v>150</v>
      </c>
      <c r="BE45">
        <v>150</v>
      </c>
      <c r="BF45">
        <v>0.95266698050366405</v>
      </c>
      <c r="BG45">
        <v>0.99838117297016005</v>
      </c>
      <c r="BH45">
        <v>0.93313212332251105</v>
      </c>
      <c r="BI45">
        <v>0.99268745360199195</v>
      </c>
      <c r="BJ45">
        <v>0.95266698050366405</v>
      </c>
      <c r="BK45">
        <v>0.93313212332251105</v>
      </c>
      <c r="BL45">
        <v>1</v>
      </c>
      <c r="BM45">
        <v>0.993670886075949</v>
      </c>
      <c r="BN45">
        <v>3</v>
      </c>
      <c r="BO45" t="s">
        <v>167</v>
      </c>
      <c r="BP45" t="s">
        <v>127</v>
      </c>
      <c r="BQ45" t="s">
        <v>82</v>
      </c>
      <c r="BR45" t="s">
        <v>108</v>
      </c>
      <c r="BS45" t="s">
        <v>86</v>
      </c>
      <c r="BT45">
        <v>0.89300000000000002</v>
      </c>
      <c r="BU45" t="s">
        <v>91</v>
      </c>
      <c r="BV45" t="s">
        <v>168</v>
      </c>
      <c r="BW45">
        <v>0.89900000000000002</v>
      </c>
      <c r="BX45">
        <v>0.997</v>
      </c>
      <c r="BY45">
        <v>0.89800000000000002</v>
      </c>
      <c r="BZ45">
        <v>0.99199999999999999</v>
      </c>
      <c r="CA45">
        <v>0.94599999999999995</v>
      </c>
      <c r="CB45">
        <v>0.92700000000000005</v>
      </c>
      <c r="CC45">
        <v>0.95299999999999996</v>
      </c>
    </row>
    <row r="46" spans="1:81" x14ac:dyDescent="0.2">
      <c r="A46" t="s">
        <v>166</v>
      </c>
      <c r="B46" t="s">
        <v>126</v>
      </c>
      <c r="C46" t="s">
        <v>82</v>
      </c>
      <c r="D46" t="s">
        <v>120</v>
      </c>
      <c r="E46" t="s">
        <v>89</v>
      </c>
      <c r="F46" t="s">
        <v>93</v>
      </c>
      <c r="G46" t="s">
        <v>93</v>
      </c>
      <c r="H46">
        <v>0.891821797931583</v>
      </c>
      <c r="I46">
        <v>0.98914317935682505</v>
      </c>
      <c r="J46">
        <v>0.97571794099169895</v>
      </c>
      <c r="K46">
        <v>0.99924156238149398</v>
      </c>
      <c r="L46">
        <v>0.98583432944996496</v>
      </c>
      <c r="M46">
        <v>0.96443847128273896</v>
      </c>
      <c r="N46">
        <v>1</v>
      </c>
      <c r="O46">
        <v>0.93837329018973303</v>
      </c>
      <c r="P46">
        <v>0.83200502858773695</v>
      </c>
      <c r="Q46">
        <v>1</v>
      </c>
      <c r="R46">
        <v>0.99247431568359801</v>
      </c>
      <c r="S46">
        <v>0.97693592494678505</v>
      </c>
      <c r="T46">
        <v>1</v>
      </c>
      <c r="U46">
        <v>0.88932255366601698</v>
      </c>
      <c r="V46">
        <v>0.76198886052027004</v>
      </c>
      <c r="W46">
        <v>1</v>
      </c>
      <c r="X46">
        <v>0.891821797931583</v>
      </c>
      <c r="Y46">
        <v>0.87762852171012296</v>
      </c>
      <c r="Z46">
        <v>0.89995484744888099</v>
      </c>
      <c r="AA46">
        <v>0.90275322521015999</v>
      </c>
      <c r="AB46">
        <v>0.80563212740553403</v>
      </c>
      <c r="AC46">
        <v>0.99254129962622795</v>
      </c>
      <c r="AD46">
        <v>0.94110950708874996</v>
      </c>
      <c r="AE46">
        <v>0.86546654041131399</v>
      </c>
      <c r="AF46">
        <v>0.996584396426343</v>
      </c>
      <c r="AG46">
        <v>0.89479977547007805</v>
      </c>
      <c r="AH46">
        <v>0.76713451854581205</v>
      </c>
      <c r="AI46">
        <v>1</v>
      </c>
      <c r="AJ46">
        <v>300</v>
      </c>
      <c r="AK46">
        <v>152</v>
      </c>
      <c r="AL46">
        <v>148</v>
      </c>
      <c r="AM46">
        <v>147</v>
      </c>
      <c r="AN46">
        <v>3</v>
      </c>
      <c r="AO46">
        <v>2</v>
      </c>
      <c r="AP46">
        <v>1</v>
      </c>
      <c r="AQ46">
        <v>1</v>
      </c>
      <c r="AR46">
        <v>1</v>
      </c>
      <c r="AS46">
        <v>0</v>
      </c>
      <c r="AT46">
        <v>145</v>
      </c>
      <c r="AU46">
        <v>148</v>
      </c>
      <c r="AV46">
        <v>5</v>
      </c>
      <c r="AW46">
        <v>2</v>
      </c>
      <c r="AX46">
        <v>145</v>
      </c>
      <c r="AY46">
        <v>0.95333333333333303</v>
      </c>
      <c r="AZ46">
        <v>0.91335643828312496</v>
      </c>
      <c r="BA46">
        <v>0.98658138390660599</v>
      </c>
      <c r="BB46">
        <v>363.5</v>
      </c>
      <c r="BC46">
        <v>587.79</v>
      </c>
      <c r="BD46">
        <v>153</v>
      </c>
      <c r="BE46">
        <v>147</v>
      </c>
      <c r="BF46">
        <v>0.95357922921487803</v>
      </c>
      <c r="BG46">
        <v>0.99841299383795501</v>
      </c>
      <c r="BH46">
        <v>0.88695982359382197</v>
      </c>
      <c r="BI46">
        <v>0.97162489687974796</v>
      </c>
      <c r="BJ46">
        <v>0.95357922921487803</v>
      </c>
      <c r="BK46">
        <v>0.83200502858773695</v>
      </c>
      <c r="BL46">
        <v>1</v>
      </c>
      <c r="BM46">
        <v>1</v>
      </c>
      <c r="BN46">
        <v>3</v>
      </c>
      <c r="BO46" t="s">
        <v>167</v>
      </c>
      <c r="BP46" t="s">
        <v>127</v>
      </c>
      <c r="BQ46" t="s">
        <v>82</v>
      </c>
      <c r="BR46" t="s">
        <v>120</v>
      </c>
      <c r="BS46" t="s">
        <v>86</v>
      </c>
      <c r="BT46">
        <v>0.89200000000000002</v>
      </c>
      <c r="BU46" t="s">
        <v>134</v>
      </c>
      <c r="BV46" t="s">
        <v>170</v>
      </c>
      <c r="BW46">
        <v>0.89500000000000002</v>
      </c>
      <c r="BX46">
        <v>0.99199999999999999</v>
      </c>
      <c r="BY46">
        <v>0.88900000000000001</v>
      </c>
      <c r="BZ46">
        <v>0.98899999999999999</v>
      </c>
      <c r="CA46">
        <v>0.94099999999999995</v>
      </c>
      <c r="CB46">
        <v>0.90300000000000002</v>
      </c>
      <c r="CC46">
        <v>0.95299999999999996</v>
      </c>
    </row>
    <row r="47" spans="1:81" x14ac:dyDescent="0.2">
      <c r="A47" t="s">
        <v>166</v>
      </c>
      <c r="B47" t="s">
        <v>126</v>
      </c>
      <c r="C47" t="s">
        <v>82</v>
      </c>
      <c r="D47" t="s">
        <v>123</v>
      </c>
      <c r="E47" t="s">
        <v>89</v>
      </c>
      <c r="F47" t="s">
        <v>93</v>
      </c>
      <c r="G47" t="s">
        <v>93</v>
      </c>
      <c r="H47">
        <v>0.87918854415274506</v>
      </c>
      <c r="I47">
        <v>0.99622294538144696</v>
      </c>
      <c r="J47">
        <v>0.98845225384573798</v>
      </c>
      <c r="K47">
        <v>1</v>
      </c>
      <c r="L47">
        <v>1</v>
      </c>
      <c r="M47">
        <v>1</v>
      </c>
      <c r="N47">
        <v>1</v>
      </c>
      <c r="O47">
        <v>0.944817595153431</v>
      </c>
      <c r="P47">
        <v>0.84488716536966002</v>
      </c>
      <c r="Q47">
        <v>1</v>
      </c>
      <c r="R47">
        <v>0.99247431568359801</v>
      </c>
      <c r="S47">
        <v>0.97716816393854999</v>
      </c>
      <c r="T47">
        <v>1</v>
      </c>
      <c r="U47">
        <v>1</v>
      </c>
      <c r="V47">
        <v>1</v>
      </c>
      <c r="W47">
        <v>1</v>
      </c>
      <c r="X47">
        <v>0.87918854415274506</v>
      </c>
      <c r="Y47">
        <v>0.85655212319833296</v>
      </c>
      <c r="Z47">
        <v>0.89698196429110899</v>
      </c>
      <c r="AA47">
        <v>0.96835282629614094</v>
      </c>
      <c r="AB47">
        <v>0.90859298753364803</v>
      </c>
      <c r="AC47">
        <v>1</v>
      </c>
      <c r="AD47">
        <v>0.99622294538144696</v>
      </c>
      <c r="AE47">
        <v>0.98845225384573798</v>
      </c>
      <c r="AF47">
        <v>1</v>
      </c>
      <c r="AG47">
        <v>1</v>
      </c>
      <c r="AH47">
        <v>1</v>
      </c>
      <c r="AI47">
        <v>1</v>
      </c>
      <c r="AJ47">
        <v>300</v>
      </c>
      <c r="AK47">
        <v>152</v>
      </c>
      <c r="AL47">
        <v>148</v>
      </c>
      <c r="AM47">
        <v>147</v>
      </c>
      <c r="AN47">
        <v>3</v>
      </c>
      <c r="AO47">
        <v>0</v>
      </c>
      <c r="AP47">
        <v>0</v>
      </c>
      <c r="AQ47">
        <v>1</v>
      </c>
      <c r="AR47">
        <v>1</v>
      </c>
      <c r="AS47">
        <v>2</v>
      </c>
      <c r="AT47">
        <v>146</v>
      </c>
      <c r="AU47">
        <v>148</v>
      </c>
      <c r="AV47">
        <v>5</v>
      </c>
      <c r="AW47">
        <v>2</v>
      </c>
      <c r="AX47">
        <v>145</v>
      </c>
      <c r="AY47">
        <v>0.95333333333333303</v>
      </c>
      <c r="AZ47">
        <v>0.913410301953819</v>
      </c>
      <c r="BA47">
        <v>0.98640195377475104</v>
      </c>
      <c r="BB47">
        <v>363.5</v>
      </c>
      <c r="BC47">
        <v>587.79</v>
      </c>
      <c r="BD47">
        <v>150</v>
      </c>
      <c r="BE47">
        <v>150</v>
      </c>
      <c r="BF47">
        <v>0.97570740283389101</v>
      </c>
      <c r="BG47">
        <v>1</v>
      </c>
      <c r="BH47">
        <v>0.89761810397667596</v>
      </c>
      <c r="BI47">
        <v>0.97669618980353001</v>
      </c>
      <c r="BJ47">
        <v>0.97570740283389101</v>
      </c>
      <c r="BK47">
        <v>0.84488716536966002</v>
      </c>
      <c r="BL47">
        <v>1</v>
      </c>
      <c r="BM47">
        <v>1</v>
      </c>
      <c r="BN47">
        <v>3</v>
      </c>
      <c r="BO47" t="s">
        <v>167</v>
      </c>
      <c r="BP47" t="s">
        <v>127</v>
      </c>
      <c r="BQ47" t="s">
        <v>82</v>
      </c>
      <c r="BR47" t="s">
        <v>123</v>
      </c>
      <c r="BS47" t="s">
        <v>86</v>
      </c>
      <c r="BT47">
        <v>0.879</v>
      </c>
      <c r="BU47" t="s">
        <v>88</v>
      </c>
      <c r="BV47" t="s">
        <v>171</v>
      </c>
      <c r="BW47">
        <v>1</v>
      </c>
      <c r="BX47">
        <v>0.99199999999999999</v>
      </c>
      <c r="BY47">
        <v>1</v>
      </c>
      <c r="BZ47">
        <v>0.996</v>
      </c>
      <c r="CA47">
        <v>0.996</v>
      </c>
      <c r="CB47">
        <v>0.96799999999999997</v>
      </c>
      <c r="CC47">
        <v>0.95299999999999996</v>
      </c>
    </row>
    <row r="48" spans="1:81" x14ac:dyDescent="0.2">
      <c r="A48" t="s">
        <v>158</v>
      </c>
      <c r="B48" t="s">
        <v>81</v>
      </c>
      <c r="C48" t="s">
        <v>82</v>
      </c>
      <c r="D48" t="s">
        <v>83</v>
      </c>
      <c r="E48" t="s">
        <v>89</v>
      </c>
      <c r="F48">
        <v>262</v>
      </c>
      <c r="G48">
        <v>1492</v>
      </c>
      <c r="H48">
        <v>0.17560321715817701</v>
      </c>
      <c r="I48">
        <v>0.93704135143424205</v>
      </c>
      <c r="J48">
        <v>0.88101175824614897</v>
      </c>
      <c r="K48">
        <v>0.98273727361181196</v>
      </c>
      <c r="L48">
        <v>0.92137923871838801</v>
      </c>
      <c r="M48">
        <v>0.84233866037752902</v>
      </c>
      <c r="N48">
        <v>0.98836278225591201</v>
      </c>
      <c r="O48">
        <v>0.99037375790424598</v>
      </c>
      <c r="P48">
        <v>0.97465344533051201</v>
      </c>
      <c r="Q48">
        <v>1</v>
      </c>
      <c r="R48">
        <v>0.95324513829466395</v>
      </c>
      <c r="S48">
        <v>0.88495176936673503</v>
      </c>
      <c r="T48">
        <v>1</v>
      </c>
      <c r="U48">
        <v>0.98337154356086098</v>
      </c>
      <c r="V48">
        <v>0.96717249641603298</v>
      </c>
      <c r="W48">
        <v>0.99749985090911897</v>
      </c>
      <c r="X48">
        <v>0.17560321715817701</v>
      </c>
      <c r="Y48">
        <v>0.17560321715817701</v>
      </c>
      <c r="Z48">
        <v>0.17560321715817701</v>
      </c>
      <c r="AA48">
        <v>0.92410122084570501</v>
      </c>
      <c r="AB48">
        <v>0.85783095398893905</v>
      </c>
      <c r="AC48">
        <v>0.97911290034572895</v>
      </c>
      <c r="AD48">
        <v>0.96787892923867003</v>
      </c>
      <c r="AE48">
        <v>0.92979436276690597</v>
      </c>
      <c r="AF48">
        <v>0.99308128245397398</v>
      </c>
      <c r="AG48">
        <v>0.98296902797822305</v>
      </c>
      <c r="AH48">
        <v>0.96302746259785199</v>
      </c>
      <c r="AI48">
        <v>0.99759019653822201</v>
      </c>
      <c r="AJ48">
        <v>300</v>
      </c>
      <c r="AK48">
        <v>150</v>
      </c>
      <c r="AL48">
        <v>150</v>
      </c>
      <c r="AM48">
        <v>143</v>
      </c>
      <c r="AN48">
        <v>4</v>
      </c>
      <c r="AO48">
        <v>4</v>
      </c>
      <c r="AP48">
        <v>2</v>
      </c>
      <c r="AQ48">
        <v>2</v>
      </c>
      <c r="AR48">
        <v>1</v>
      </c>
      <c r="AS48">
        <v>1</v>
      </c>
      <c r="AT48">
        <v>143</v>
      </c>
      <c r="AU48">
        <v>145</v>
      </c>
      <c r="AV48">
        <v>3</v>
      </c>
      <c r="AW48">
        <v>5</v>
      </c>
      <c r="AX48">
        <v>147</v>
      </c>
      <c r="AY48">
        <v>0.94666666666666699</v>
      </c>
      <c r="AZ48">
        <v>0.90657916244162795</v>
      </c>
      <c r="BA48">
        <v>0.97997508009968004</v>
      </c>
      <c r="BB48">
        <v>879.5</v>
      </c>
      <c r="BC48">
        <v>1105.92333333333</v>
      </c>
      <c r="BD48">
        <v>153</v>
      </c>
      <c r="BE48">
        <v>147</v>
      </c>
      <c r="BF48">
        <v>0.86700431499918296</v>
      </c>
      <c r="BG48">
        <v>0.95881722187848495</v>
      </c>
      <c r="BH48">
        <v>0.96268181843341405</v>
      </c>
      <c r="BI48">
        <v>0.99982778484444501</v>
      </c>
      <c r="BJ48">
        <v>0.84233866037752902</v>
      </c>
      <c r="BK48">
        <v>0.96268181843341405</v>
      </c>
      <c r="BL48">
        <v>0.98836278225591201</v>
      </c>
      <c r="BM48">
        <v>1</v>
      </c>
      <c r="BN48">
        <v>2</v>
      </c>
      <c r="BO48" t="s">
        <v>159</v>
      </c>
      <c r="BP48" t="s">
        <v>85</v>
      </c>
      <c r="BQ48" t="s">
        <v>82</v>
      </c>
      <c r="BR48" t="s">
        <v>83</v>
      </c>
      <c r="BS48" t="s">
        <v>86</v>
      </c>
      <c r="BT48">
        <v>0.17599999999999999</v>
      </c>
      <c r="BU48" t="s">
        <v>172</v>
      </c>
      <c r="BV48" t="s">
        <v>165</v>
      </c>
      <c r="BW48">
        <v>0.98299999999999998</v>
      </c>
      <c r="BX48">
        <v>0.95299999999999996</v>
      </c>
      <c r="BY48">
        <v>0.98299999999999998</v>
      </c>
      <c r="BZ48">
        <v>0.93700000000000006</v>
      </c>
      <c r="CA48">
        <v>0.96799999999999997</v>
      </c>
      <c r="CB48">
        <v>0.92400000000000004</v>
      </c>
      <c r="CC48">
        <v>0.94699999999999995</v>
      </c>
    </row>
    <row r="49" spans="1:81" x14ac:dyDescent="0.2">
      <c r="A49" t="s">
        <v>158</v>
      </c>
      <c r="B49" t="s">
        <v>81</v>
      </c>
      <c r="C49" t="s">
        <v>82</v>
      </c>
      <c r="D49" t="s">
        <v>89</v>
      </c>
      <c r="E49" t="s">
        <v>89</v>
      </c>
      <c r="F49">
        <v>223</v>
      </c>
      <c r="G49">
        <v>1492</v>
      </c>
      <c r="H49">
        <v>0.14946380697050901</v>
      </c>
      <c r="I49">
        <v>0.896575627339526</v>
      </c>
      <c r="J49">
        <v>0.826818263456509</v>
      </c>
      <c r="K49">
        <v>0.96404025172738195</v>
      </c>
      <c r="L49">
        <v>0.96666666666666701</v>
      </c>
      <c r="M49">
        <v>0.93547806915757703</v>
      </c>
      <c r="N49">
        <v>0.99315068493150704</v>
      </c>
      <c r="O49">
        <v>0.96666666666666701</v>
      </c>
      <c r="P49">
        <v>0.93571428571428605</v>
      </c>
      <c r="Q49">
        <v>0.99319727891156495</v>
      </c>
      <c r="R49">
        <v>0.835961737331955</v>
      </c>
      <c r="S49">
        <v>0.72574071439248899</v>
      </c>
      <c r="T49">
        <v>0.961279098125844</v>
      </c>
      <c r="U49">
        <v>0.99397687986171102</v>
      </c>
      <c r="V49">
        <v>0.98837600962527405</v>
      </c>
      <c r="W49">
        <v>0.99875751815644698</v>
      </c>
      <c r="X49">
        <v>0.14946380697050901</v>
      </c>
      <c r="Y49">
        <v>0.14946380697050901</v>
      </c>
      <c r="Z49">
        <v>0.14946380697050901</v>
      </c>
      <c r="AA49">
        <v>0.88011895562328502</v>
      </c>
      <c r="AB49">
        <v>0.80242633826950704</v>
      </c>
      <c r="AC49">
        <v>0.95775770831289497</v>
      </c>
      <c r="AD49">
        <v>0.90855708746719199</v>
      </c>
      <c r="AE49">
        <v>0.83951226055984296</v>
      </c>
      <c r="AF49">
        <v>0.97727640440255203</v>
      </c>
      <c r="AG49">
        <v>0.99495992231658104</v>
      </c>
      <c r="AH49">
        <v>0.98980788157016197</v>
      </c>
      <c r="AI49">
        <v>0.99896596157045203</v>
      </c>
      <c r="AJ49">
        <v>300</v>
      </c>
      <c r="AK49">
        <v>150</v>
      </c>
      <c r="AL49">
        <v>150</v>
      </c>
      <c r="AM49">
        <v>145</v>
      </c>
      <c r="AN49">
        <v>0</v>
      </c>
      <c r="AO49">
        <v>5</v>
      </c>
      <c r="AP49">
        <v>0</v>
      </c>
      <c r="AQ49">
        <v>0</v>
      </c>
      <c r="AR49">
        <v>5</v>
      </c>
      <c r="AS49">
        <v>0</v>
      </c>
      <c r="AT49">
        <v>145</v>
      </c>
      <c r="AU49">
        <v>145</v>
      </c>
      <c r="AV49">
        <v>3</v>
      </c>
      <c r="AW49">
        <v>5</v>
      </c>
      <c r="AX49">
        <v>147</v>
      </c>
      <c r="AY49">
        <v>0.94666666666666699</v>
      </c>
      <c r="AZ49">
        <v>0.90652073503474995</v>
      </c>
      <c r="BA49">
        <v>0.97997329773030695</v>
      </c>
      <c r="BB49">
        <v>879.5</v>
      </c>
      <c r="BC49">
        <v>1105.92333333333</v>
      </c>
      <c r="BD49">
        <v>150</v>
      </c>
      <c r="BE49">
        <v>150</v>
      </c>
      <c r="BF49">
        <v>0.92392767746265303</v>
      </c>
      <c r="BG49">
        <v>0.98908981353108905</v>
      </c>
      <c r="BH49">
        <v>0.92392767746265303</v>
      </c>
      <c r="BI49">
        <v>0.98908981353108905</v>
      </c>
      <c r="BJ49">
        <v>0.92392767746265303</v>
      </c>
      <c r="BK49">
        <v>0.92392767746265303</v>
      </c>
      <c r="BL49">
        <v>0.99315068493150704</v>
      </c>
      <c r="BM49">
        <v>0.99319727891156495</v>
      </c>
      <c r="BN49">
        <v>2</v>
      </c>
      <c r="BO49" t="s">
        <v>159</v>
      </c>
      <c r="BP49" t="s">
        <v>85</v>
      </c>
      <c r="BQ49" t="s">
        <v>82</v>
      </c>
      <c r="BR49" t="s">
        <v>89</v>
      </c>
      <c r="BS49" t="s">
        <v>86</v>
      </c>
      <c r="BT49">
        <v>0.14899999999999999</v>
      </c>
      <c r="BU49" t="s">
        <v>173</v>
      </c>
      <c r="BV49" t="s">
        <v>173</v>
      </c>
      <c r="BW49">
        <v>0.995</v>
      </c>
      <c r="BX49">
        <v>0.83599999999999997</v>
      </c>
      <c r="BY49">
        <v>0.99399999999999999</v>
      </c>
      <c r="BZ49">
        <v>0.89700000000000002</v>
      </c>
      <c r="CA49">
        <v>0.90900000000000003</v>
      </c>
      <c r="CB49">
        <v>0.88</v>
      </c>
      <c r="CC49">
        <v>0.94699999999999995</v>
      </c>
    </row>
    <row r="50" spans="1:81" x14ac:dyDescent="0.2">
      <c r="A50" t="s">
        <v>158</v>
      </c>
      <c r="B50" t="s">
        <v>81</v>
      </c>
      <c r="C50" t="s">
        <v>82</v>
      </c>
      <c r="D50" t="s">
        <v>92</v>
      </c>
      <c r="E50" t="s">
        <v>89</v>
      </c>
      <c r="F50" t="s">
        <v>93</v>
      </c>
      <c r="G50" t="s">
        <v>93</v>
      </c>
      <c r="H50">
        <v>0.156201966041108</v>
      </c>
      <c r="I50">
        <v>0.82183111980227597</v>
      </c>
      <c r="J50">
        <v>0.74471793060459002</v>
      </c>
      <c r="K50">
        <v>0.896784070542472</v>
      </c>
      <c r="L50">
        <v>0.86558155500886802</v>
      </c>
      <c r="M50">
        <v>0.75813652956322597</v>
      </c>
      <c r="N50">
        <v>0.97202797202797198</v>
      </c>
      <c r="O50">
        <v>0.95540716577879903</v>
      </c>
      <c r="P50">
        <v>0.92583578404893696</v>
      </c>
      <c r="Q50">
        <v>0.97989398515316395</v>
      </c>
      <c r="R50">
        <v>0.78229058945191299</v>
      </c>
      <c r="S50">
        <v>0.67797267544214601</v>
      </c>
      <c r="T50">
        <v>0.89110889062862497</v>
      </c>
      <c r="U50">
        <v>0.974616464995678</v>
      </c>
      <c r="V50">
        <v>0.94823559329488105</v>
      </c>
      <c r="W50">
        <v>0.99526077710393601</v>
      </c>
      <c r="X50">
        <v>0.156201966041108</v>
      </c>
      <c r="Y50">
        <v>0.13558742645267799</v>
      </c>
      <c r="Z50">
        <v>0.181365860143991</v>
      </c>
      <c r="AA50">
        <v>0.78829699630665195</v>
      </c>
      <c r="AB50">
        <v>0.69404810790236704</v>
      </c>
      <c r="AC50">
        <v>0.87947052397717296</v>
      </c>
      <c r="AD50">
        <v>0.86926807831856501</v>
      </c>
      <c r="AE50">
        <v>0.80185931325090298</v>
      </c>
      <c r="AF50">
        <v>0.93119413368827197</v>
      </c>
      <c r="AG50">
        <v>0.97800578876936595</v>
      </c>
      <c r="AH50">
        <v>0.94838264678505801</v>
      </c>
      <c r="AI50">
        <v>0.99637219980019998</v>
      </c>
      <c r="AJ50">
        <v>300</v>
      </c>
      <c r="AK50">
        <v>150</v>
      </c>
      <c r="AL50">
        <v>150</v>
      </c>
      <c r="AM50">
        <v>130</v>
      </c>
      <c r="AN50">
        <v>1</v>
      </c>
      <c r="AO50">
        <v>4</v>
      </c>
      <c r="AP50">
        <v>3</v>
      </c>
      <c r="AQ50">
        <v>15</v>
      </c>
      <c r="AR50">
        <v>4</v>
      </c>
      <c r="AS50">
        <v>1</v>
      </c>
      <c r="AT50">
        <v>142</v>
      </c>
      <c r="AU50">
        <v>145</v>
      </c>
      <c r="AV50">
        <v>3</v>
      </c>
      <c r="AW50">
        <v>5</v>
      </c>
      <c r="AX50">
        <v>147</v>
      </c>
      <c r="AY50">
        <v>0.94666666666666699</v>
      </c>
      <c r="AZ50">
        <v>0.90653363286627298</v>
      </c>
      <c r="BA50">
        <v>0.979982206405694</v>
      </c>
      <c r="BB50">
        <v>879.5</v>
      </c>
      <c r="BC50">
        <v>1105.92333333333</v>
      </c>
      <c r="BD50">
        <v>138</v>
      </c>
      <c r="BE50">
        <v>162</v>
      </c>
      <c r="BF50">
        <v>0.79337058743656397</v>
      </c>
      <c r="BG50">
        <v>0.91502647633382705</v>
      </c>
      <c r="BH50">
        <v>0.91299985922176197</v>
      </c>
      <c r="BI50">
        <v>0.98245347518926596</v>
      </c>
      <c r="BJ50">
        <v>0.75813652956322597</v>
      </c>
      <c r="BK50">
        <v>0.91299985922176197</v>
      </c>
      <c r="BL50">
        <v>0.97202797202797198</v>
      </c>
      <c r="BM50">
        <v>0.98245347518926596</v>
      </c>
      <c r="BN50">
        <v>2</v>
      </c>
      <c r="BO50" t="s">
        <v>159</v>
      </c>
      <c r="BP50" t="s">
        <v>85</v>
      </c>
      <c r="BQ50" t="s">
        <v>82</v>
      </c>
      <c r="BR50" t="s">
        <v>92</v>
      </c>
      <c r="BS50" t="s">
        <v>86</v>
      </c>
      <c r="BT50">
        <v>0.156</v>
      </c>
      <c r="BU50" t="s">
        <v>174</v>
      </c>
      <c r="BV50" t="s">
        <v>175</v>
      </c>
      <c r="BW50">
        <v>0.97799999999999998</v>
      </c>
      <c r="BX50">
        <v>0.78200000000000003</v>
      </c>
      <c r="BY50">
        <v>0.97499999999999998</v>
      </c>
      <c r="BZ50">
        <v>0.82199999999999995</v>
      </c>
      <c r="CA50">
        <v>0.86899999999999999</v>
      </c>
      <c r="CB50">
        <v>0.78800000000000003</v>
      </c>
      <c r="CC50">
        <v>0.94699999999999995</v>
      </c>
    </row>
    <row r="51" spans="1:81" x14ac:dyDescent="0.2">
      <c r="A51" t="s">
        <v>158</v>
      </c>
      <c r="B51" t="s">
        <v>81</v>
      </c>
      <c r="C51" t="s">
        <v>82</v>
      </c>
      <c r="D51" t="s">
        <v>96</v>
      </c>
      <c r="E51" t="s">
        <v>89</v>
      </c>
      <c r="F51" t="s">
        <v>93</v>
      </c>
      <c r="G51" t="s">
        <v>93</v>
      </c>
      <c r="H51">
        <v>0.18785075960679201</v>
      </c>
      <c r="I51">
        <v>0.86232826649818495</v>
      </c>
      <c r="J51">
        <v>0.78809245387069504</v>
      </c>
      <c r="K51">
        <v>0.93265393704199295</v>
      </c>
      <c r="L51">
        <v>0.82785851906472196</v>
      </c>
      <c r="M51">
        <v>0.72075401513429005</v>
      </c>
      <c r="N51">
        <v>0.93686314887615696</v>
      </c>
      <c r="O51">
        <v>0.97867505873161698</v>
      </c>
      <c r="P51">
        <v>0.95542343942279895</v>
      </c>
      <c r="Q51">
        <v>0.995270300990444</v>
      </c>
      <c r="R51">
        <v>0.89979317476732101</v>
      </c>
      <c r="S51">
        <v>0.80733068288418097</v>
      </c>
      <c r="T51">
        <v>0.97651879629092797</v>
      </c>
      <c r="U51">
        <v>0.96090643906655104</v>
      </c>
      <c r="V51">
        <v>0.92907390190647099</v>
      </c>
      <c r="W51">
        <v>0.98707181555915702</v>
      </c>
      <c r="X51">
        <v>0.18785075960679201</v>
      </c>
      <c r="Y51">
        <v>0.159518083324756</v>
      </c>
      <c r="Z51">
        <v>0.22053981054437599</v>
      </c>
      <c r="AA51">
        <v>0.83317653528730695</v>
      </c>
      <c r="AB51">
        <v>0.74230147893477905</v>
      </c>
      <c r="AC51">
        <v>0.91947350158991303</v>
      </c>
      <c r="AD51">
        <v>0.92822813812254001</v>
      </c>
      <c r="AE51">
        <v>0.87493882333068496</v>
      </c>
      <c r="AF51">
        <v>0.97006072692298195</v>
      </c>
      <c r="AG51">
        <v>0.95851893328245896</v>
      </c>
      <c r="AH51">
        <v>0.91442887242824</v>
      </c>
      <c r="AI51">
        <v>0.98801173313401403</v>
      </c>
      <c r="AJ51">
        <v>300</v>
      </c>
      <c r="AK51">
        <v>150</v>
      </c>
      <c r="AL51">
        <v>150</v>
      </c>
      <c r="AM51">
        <v>139</v>
      </c>
      <c r="AN51">
        <v>3</v>
      </c>
      <c r="AO51">
        <v>4</v>
      </c>
      <c r="AP51">
        <v>5</v>
      </c>
      <c r="AQ51">
        <v>6</v>
      </c>
      <c r="AR51">
        <v>2</v>
      </c>
      <c r="AS51">
        <v>1</v>
      </c>
      <c r="AT51">
        <v>140</v>
      </c>
      <c r="AU51">
        <v>145</v>
      </c>
      <c r="AV51">
        <v>3</v>
      </c>
      <c r="AW51">
        <v>5</v>
      </c>
      <c r="AX51">
        <v>147</v>
      </c>
      <c r="AY51">
        <v>0.94666666666666699</v>
      </c>
      <c r="AZ51">
        <v>0.90661686232657401</v>
      </c>
      <c r="BA51">
        <v>0.979982206405694</v>
      </c>
      <c r="BB51">
        <v>879.5</v>
      </c>
      <c r="BC51">
        <v>1105.92333333333</v>
      </c>
      <c r="BD51">
        <v>151</v>
      </c>
      <c r="BE51">
        <v>149</v>
      </c>
      <c r="BF51">
        <v>0.75797655991287205</v>
      </c>
      <c r="BG51">
        <v>0.88433189243779997</v>
      </c>
      <c r="BH51">
        <v>0.94228844953396296</v>
      </c>
      <c r="BI51">
        <v>0.99582843474977401</v>
      </c>
      <c r="BJ51">
        <v>0.72075401513429005</v>
      </c>
      <c r="BK51">
        <v>0.94228844953396296</v>
      </c>
      <c r="BL51">
        <v>0.93686314887615696</v>
      </c>
      <c r="BM51">
        <v>0.99582843474977401</v>
      </c>
      <c r="BN51">
        <v>2</v>
      </c>
      <c r="BO51" t="s">
        <v>159</v>
      </c>
      <c r="BP51" t="s">
        <v>85</v>
      </c>
      <c r="BQ51" t="s">
        <v>82</v>
      </c>
      <c r="BR51" t="s">
        <v>96</v>
      </c>
      <c r="BS51" t="s">
        <v>86</v>
      </c>
      <c r="BT51">
        <v>0.188</v>
      </c>
      <c r="BU51" t="s">
        <v>176</v>
      </c>
      <c r="BV51" t="s">
        <v>161</v>
      </c>
      <c r="BW51">
        <v>0.95899999999999996</v>
      </c>
      <c r="BX51">
        <v>0.9</v>
      </c>
      <c r="BY51">
        <v>0.96099999999999997</v>
      </c>
      <c r="BZ51">
        <v>0.86199999999999999</v>
      </c>
      <c r="CA51">
        <v>0.92800000000000005</v>
      </c>
      <c r="CB51">
        <v>0.83299999999999996</v>
      </c>
      <c r="CC51">
        <v>0.94699999999999995</v>
      </c>
    </row>
    <row r="52" spans="1:81" x14ac:dyDescent="0.2">
      <c r="A52" t="s">
        <v>158</v>
      </c>
      <c r="B52" t="s">
        <v>81</v>
      </c>
      <c r="C52" t="s">
        <v>82</v>
      </c>
      <c r="D52" t="s">
        <v>99</v>
      </c>
      <c r="E52" t="s">
        <v>89</v>
      </c>
      <c r="F52" t="s">
        <v>93</v>
      </c>
      <c r="G52" t="s">
        <v>93</v>
      </c>
      <c r="H52">
        <v>0.14100520132476599</v>
      </c>
      <c r="I52">
        <v>0.85444570378542795</v>
      </c>
      <c r="J52">
        <v>0.77451779154807099</v>
      </c>
      <c r="K52">
        <v>0.92506864697219504</v>
      </c>
      <c r="L52">
        <v>0.92306534528609896</v>
      </c>
      <c r="M52">
        <v>0.81713831909091095</v>
      </c>
      <c r="N52">
        <v>0.99117940776105995</v>
      </c>
      <c r="O52">
        <v>0.96100541325774902</v>
      </c>
      <c r="P52">
        <v>0.93433344358843495</v>
      </c>
      <c r="Q52">
        <v>0.98212166926003497</v>
      </c>
      <c r="R52">
        <v>0.79532233431149801</v>
      </c>
      <c r="S52">
        <v>0.68669011531672997</v>
      </c>
      <c r="T52">
        <v>0.898502324719469</v>
      </c>
      <c r="U52">
        <v>0.98702908173456505</v>
      </c>
      <c r="V52">
        <v>0.96620480024770605</v>
      </c>
      <c r="W52">
        <v>0.99854848324037804</v>
      </c>
      <c r="X52">
        <v>0.14100520132476599</v>
      </c>
      <c r="Y52">
        <v>0.12218073109494</v>
      </c>
      <c r="Z52">
        <v>0.16443719622979799</v>
      </c>
      <c r="AA52">
        <v>0.83165738728859695</v>
      </c>
      <c r="AB52">
        <v>0.74024687428934</v>
      </c>
      <c r="AC52">
        <v>0.91360637830189395</v>
      </c>
      <c r="AD52">
        <v>0.88174360973216703</v>
      </c>
      <c r="AE52">
        <v>0.81118249843261103</v>
      </c>
      <c r="AF52">
        <v>0.941246574835224</v>
      </c>
      <c r="AG52">
        <v>0.98923591263027</v>
      </c>
      <c r="AH52">
        <v>0.967861048044657</v>
      </c>
      <c r="AI52">
        <v>0.99892428850689297</v>
      </c>
      <c r="AJ52">
        <v>237</v>
      </c>
      <c r="AK52">
        <v>112</v>
      </c>
      <c r="AL52">
        <v>125</v>
      </c>
      <c r="AM52">
        <v>94</v>
      </c>
      <c r="AN52">
        <v>1</v>
      </c>
      <c r="AO52">
        <v>3</v>
      </c>
      <c r="AP52">
        <v>1</v>
      </c>
      <c r="AQ52">
        <v>15</v>
      </c>
      <c r="AR52">
        <v>2</v>
      </c>
      <c r="AS52">
        <v>2</v>
      </c>
      <c r="AT52">
        <v>119</v>
      </c>
      <c r="AU52">
        <v>107</v>
      </c>
      <c r="AV52">
        <v>3</v>
      </c>
      <c r="AW52">
        <v>4</v>
      </c>
      <c r="AX52">
        <v>123</v>
      </c>
      <c r="AY52">
        <v>0.94065886897735795</v>
      </c>
      <c r="AZ52">
        <v>0.89592329649418101</v>
      </c>
      <c r="BA52">
        <v>0.98265388274902998</v>
      </c>
      <c r="BB52">
        <v>4895</v>
      </c>
      <c r="BC52">
        <v>5199.8270042194099</v>
      </c>
      <c r="BD52">
        <v>99</v>
      </c>
      <c r="BE52">
        <v>138</v>
      </c>
      <c r="BF52">
        <v>0.84697302001985397</v>
      </c>
      <c r="BG52">
        <v>0.96446648373992405</v>
      </c>
      <c r="BH52">
        <v>0.91747366811895703</v>
      </c>
      <c r="BI52">
        <v>0.98813275774208198</v>
      </c>
      <c r="BJ52">
        <v>0.81713831909091095</v>
      </c>
      <c r="BK52">
        <v>0.91747366811895703</v>
      </c>
      <c r="BL52">
        <v>0.99117940776105995</v>
      </c>
      <c r="BM52">
        <v>0.98813275774208198</v>
      </c>
      <c r="BN52">
        <v>2</v>
      </c>
      <c r="BO52" t="s">
        <v>159</v>
      </c>
      <c r="BP52" t="s">
        <v>85</v>
      </c>
      <c r="BQ52" t="s">
        <v>82</v>
      </c>
      <c r="BR52" t="s">
        <v>99</v>
      </c>
      <c r="BS52" t="s">
        <v>100</v>
      </c>
      <c r="BT52">
        <v>0.14099999999999999</v>
      </c>
      <c r="BU52" t="s">
        <v>177</v>
      </c>
      <c r="BV52" t="s">
        <v>178</v>
      </c>
      <c r="BW52">
        <v>0.98899999999999999</v>
      </c>
      <c r="BX52">
        <v>0.79500000000000004</v>
      </c>
      <c r="BY52">
        <v>0.98699999999999999</v>
      </c>
      <c r="BZ52">
        <v>0.85399999999999998</v>
      </c>
      <c r="CA52">
        <v>0.88200000000000001</v>
      </c>
      <c r="CB52">
        <v>0.83199999999999996</v>
      </c>
      <c r="CC52">
        <v>0.94099999999999995</v>
      </c>
    </row>
    <row r="53" spans="1:81" x14ac:dyDescent="0.2">
      <c r="A53" t="s">
        <v>158</v>
      </c>
      <c r="B53" t="s">
        <v>81</v>
      </c>
      <c r="C53" t="s">
        <v>82</v>
      </c>
      <c r="D53" t="s">
        <v>103</v>
      </c>
      <c r="E53" t="s">
        <v>89</v>
      </c>
      <c r="F53" t="s">
        <v>93</v>
      </c>
      <c r="G53" t="s">
        <v>93</v>
      </c>
      <c r="H53">
        <v>0.197868305760806</v>
      </c>
      <c r="I53">
        <v>0.86710332635360099</v>
      </c>
      <c r="J53">
        <v>0.78361452661679398</v>
      </c>
      <c r="K53">
        <v>0.94475207987088305</v>
      </c>
      <c r="L53">
        <v>0.79213410674737095</v>
      </c>
      <c r="M53">
        <v>0.67232168096044798</v>
      </c>
      <c r="N53">
        <v>0.92107207957634896</v>
      </c>
      <c r="O53">
        <v>0.99137931034482796</v>
      </c>
      <c r="P53">
        <v>0.97169811320754695</v>
      </c>
      <c r="Q53">
        <v>1</v>
      </c>
      <c r="R53">
        <v>0.95774644184944102</v>
      </c>
      <c r="S53">
        <v>0.86985787562517303</v>
      </c>
      <c r="T53">
        <v>1</v>
      </c>
      <c r="U53">
        <v>0.95082175210528197</v>
      </c>
      <c r="V53">
        <v>0.91114848768953605</v>
      </c>
      <c r="W53">
        <v>0.98372475597013198</v>
      </c>
      <c r="X53">
        <v>0.197868305760806</v>
      </c>
      <c r="Y53">
        <v>0.16465195327460699</v>
      </c>
      <c r="Z53">
        <v>0.23451742627345801</v>
      </c>
      <c r="AA53">
        <v>0.84372707098134103</v>
      </c>
      <c r="AB53">
        <v>0.74565181429151295</v>
      </c>
      <c r="AC53">
        <v>0.935114362478634</v>
      </c>
      <c r="AD53">
        <v>0.949616227460782</v>
      </c>
      <c r="AE53">
        <v>0.89738247064302601</v>
      </c>
      <c r="AF53">
        <v>0.98609999307274698</v>
      </c>
      <c r="AG53">
        <v>0.94162288434979202</v>
      </c>
      <c r="AH53">
        <v>0.87941227443609904</v>
      </c>
      <c r="AI53">
        <v>0.98274571835703495</v>
      </c>
      <c r="AJ53">
        <v>237</v>
      </c>
      <c r="AK53">
        <v>112</v>
      </c>
      <c r="AL53">
        <v>125</v>
      </c>
      <c r="AM53">
        <v>109</v>
      </c>
      <c r="AN53">
        <v>2</v>
      </c>
      <c r="AO53">
        <v>5</v>
      </c>
      <c r="AP53">
        <v>5</v>
      </c>
      <c r="AQ53">
        <v>0</v>
      </c>
      <c r="AR53">
        <v>1</v>
      </c>
      <c r="AS53">
        <v>0</v>
      </c>
      <c r="AT53">
        <v>115</v>
      </c>
      <c r="AU53">
        <v>107</v>
      </c>
      <c r="AV53">
        <v>3</v>
      </c>
      <c r="AW53">
        <v>4</v>
      </c>
      <c r="AX53">
        <v>123</v>
      </c>
      <c r="AY53">
        <v>0.94065886897735795</v>
      </c>
      <c r="AZ53">
        <v>0.89696846404517405</v>
      </c>
      <c r="BA53">
        <v>0.98278992084815897</v>
      </c>
      <c r="BB53">
        <v>4895</v>
      </c>
      <c r="BC53">
        <v>5199.8270042194099</v>
      </c>
      <c r="BD53">
        <v>121</v>
      </c>
      <c r="BE53">
        <v>116</v>
      </c>
      <c r="BF53">
        <v>0.710291573218368</v>
      </c>
      <c r="BG53">
        <v>0.86160463223884698</v>
      </c>
      <c r="BH53">
        <v>0.95290446377335303</v>
      </c>
      <c r="BI53">
        <v>0.999781766850937</v>
      </c>
      <c r="BJ53">
        <v>0.67232168096044798</v>
      </c>
      <c r="BK53">
        <v>0.95290446377335303</v>
      </c>
      <c r="BL53">
        <v>0.92107207957634896</v>
      </c>
      <c r="BM53">
        <v>1</v>
      </c>
      <c r="BN53">
        <v>2</v>
      </c>
      <c r="BO53" t="s">
        <v>159</v>
      </c>
      <c r="BP53" t="s">
        <v>85</v>
      </c>
      <c r="BQ53" t="s">
        <v>82</v>
      </c>
      <c r="BR53" t="s">
        <v>103</v>
      </c>
      <c r="BS53" t="s">
        <v>100</v>
      </c>
      <c r="BT53">
        <v>0.19800000000000001</v>
      </c>
      <c r="BU53" t="s">
        <v>179</v>
      </c>
      <c r="BV53" t="s">
        <v>180</v>
      </c>
      <c r="BW53">
        <v>0.94199999999999995</v>
      </c>
      <c r="BX53">
        <v>0.95799999999999996</v>
      </c>
      <c r="BY53">
        <v>0.95099999999999996</v>
      </c>
      <c r="BZ53">
        <v>0.86699999999999999</v>
      </c>
      <c r="CA53">
        <v>0.95</v>
      </c>
      <c r="CB53">
        <v>0.84399999999999997</v>
      </c>
      <c r="CC53">
        <v>0.94099999999999995</v>
      </c>
    </row>
    <row r="54" spans="1:81" x14ac:dyDescent="0.2">
      <c r="A54" t="s">
        <v>158</v>
      </c>
      <c r="B54" t="s">
        <v>81</v>
      </c>
      <c r="C54" t="s">
        <v>82</v>
      </c>
      <c r="D54" t="s">
        <v>106</v>
      </c>
      <c r="E54" t="s">
        <v>89</v>
      </c>
      <c r="F54">
        <v>267</v>
      </c>
      <c r="G54">
        <v>1492</v>
      </c>
      <c r="H54">
        <v>0.178954423592493</v>
      </c>
      <c r="I54">
        <v>0.93812581467989598</v>
      </c>
      <c r="J54">
        <v>0.87961446425148204</v>
      </c>
      <c r="K54">
        <v>0.98674405640393203</v>
      </c>
      <c r="L54">
        <v>0.91161048689138602</v>
      </c>
      <c r="M54">
        <v>0.82766439909297096</v>
      </c>
      <c r="N54">
        <v>0.98356081743458301</v>
      </c>
      <c r="O54">
        <v>0.99305555555555602</v>
      </c>
      <c r="P54">
        <v>0.977607732016609</v>
      </c>
      <c r="Q54">
        <v>1</v>
      </c>
      <c r="R54">
        <v>0.96622981369884198</v>
      </c>
      <c r="S54">
        <v>0.89601746091394996</v>
      </c>
      <c r="T54">
        <v>1</v>
      </c>
      <c r="U54">
        <v>0.980969170100362</v>
      </c>
      <c r="V54">
        <v>0.96356846605845103</v>
      </c>
      <c r="W54">
        <v>0.99638209765202901</v>
      </c>
      <c r="X54">
        <v>0.178954423592493</v>
      </c>
      <c r="Y54">
        <v>0.178954423592493</v>
      </c>
      <c r="Z54">
        <v>0.178954423592493</v>
      </c>
      <c r="AA54">
        <v>0.925688260746235</v>
      </c>
      <c r="AB54">
        <v>0.85716656394796897</v>
      </c>
      <c r="AC54">
        <v>0.98402883761890503</v>
      </c>
      <c r="AD54">
        <v>0.97306078254313699</v>
      </c>
      <c r="AE54">
        <v>0.93351702927939795</v>
      </c>
      <c r="AF54">
        <v>0.99708047956367696</v>
      </c>
      <c r="AG54">
        <v>0.97998902508252195</v>
      </c>
      <c r="AH54">
        <v>0.95796316807887605</v>
      </c>
      <c r="AI54">
        <v>0.99646335286297505</v>
      </c>
      <c r="AJ54">
        <v>300</v>
      </c>
      <c r="AK54">
        <v>150</v>
      </c>
      <c r="AL54">
        <v>150</v>
      </c>
      <c r="AM54">
        <v>145</v>
      </c>
      <c r="AN54">
        <v>4</v>
      </c>
      <c r="AO54">
        <v>5</v>
      </c>
      <c r="AP54">
        <v>2</v>
      </c>
      <c r="AQ54">
        <v>0</v>
      </c>
      <c r="AR54">
        <v>1</v>
      </c>
      <c r="AS54">
        <v>0</v>
      </c>
      <c r="AT54">
        <v>143</v>
      </c>
      <c r="AU54">
        <v>145</v>
      </c>
      <c r="AV54">
        <v>3</v>
      </c>
      <c r="AW54">
        <v>5</v>
      </c>
      <c r="AX54">
        <v>147</v>
      </c>
      <c r="AY54">
        <v>0.94666666666666699</v>
      </c>
      <c r="AZ54">
        <v>0.90662931839402405</v>
      </c>
      <c r="BA54">
        <v>0.979982206405694</v>
      </c>
      <c r="BB54">
        <v>879.5</v>
      </c>
      <c r="BC54">
        <v>1105.92333333333</v>
      </c>
      <c r="BD54">
        <v>156</v>
      </c>
      <c r="BE54">
        <v>144</v>
      </c>
      <c r="BF54">
        <v>0.85401004555068805</v>
      </c>
      <c r="BG54">
        <v>0.95006488550521795</v>
      </c>
      <c r="BH54">
        <v>0.96191666717021695</v>
      </c>
      <c r="BI54">
        <v>0.999824197344096</v>
      </c>
      <c r="BJ54">
        <v>0.82766439909297096</v>
      </c>
      <c r="BK54">
        <v>0.96191666717021695</v>
      </c>
      <c r="BL54">
        <v>0.98356081743458301</v>
      </c>
      <c r="BM54">
        <v>1</v>
      </c>
      <c r="BN54">
        <v>2</v>
      </c>
      <c r="BO54" t="s">
        <v>159</v>
      </c>
      <c r="BP54" t="s">
        <v>85</v>
      </c>
      <c r="BQ54" t="s">
        <v>82</v>
      </c>
      <c r="BR54" t="s">
        <v>106</v>
      </c>
      <c r="BS54" t="s">
        <v>86</v>
      </c>
      <c r="BT54">
        <v>0.17899999999999999</v>
      </c>
      <c r="BU54" t="s">
        <v>181</v>
      </c>
      <c r="BV54" t="s">
        <v>138</v>
      </c>
      <c r="BW54">
        <v>0.98</v>
      </c>
      <c r="BX54">
        <v>0.96599999999999997</v>
      </c>
      <c r="BY54">
        <v>0.98099999999999998</v>
      </c>
      <c r="BZ54">
        <v>0.93799999999999994</v>
      </c>
      <c r="CA54">
        <v>0.97299999999999998</v>
      </c>
      <c r="CB54">
        <v>0.92600000000000005</v>
      </c>
      <c r="CC54">
        <v>0.94699999999999995</v>
      </c>
    </row>
    <row r="55" spans="1:81" x14ac:dyDescent="0.2">
      <c r="A55" t="s">
        <v>158</v>
      </c>
      <c r="B55" t="s">
        <v>81</v>
      </c>
      <c r="C55" t="s">
        <v>82</v>
      </c>
      <c r="D55" t="s">
        <v>108</v>
      </c>
      <c r="E55" t="s">
        <v>89</v>
      </c>
      <c r="F55">
        <v>218</v>
      </c>
      <c r="G55">
        <v>1492</v>
      </c>
      <c r="H55">
        <v>0.14611260053619299</v>
      </c>
      <c r="I55">
        <v>0.89160151641471797</v>
      </c>
      <c r="J55">
        <v>0.82178668377366904</v>
      </c>
      <c r="K55">
        <v>0.95932910337416499</v>
      </c>
      <c r="L55">
        <v>0.97278911564625803</v>
      </c>
      <c r="M55">
        <v>0.94325808683618795</v>
      </c>
      <c r="N55">
        <v>0.99363057324840798</v>
      </c>
      <c r="O55">
        <v>0.96418105703820001</v>
      </c>
      <c r="P55">
        <v>0.933022754325737</v>
      </c>
      <c r="Q55">
        <v>0.99017646075451005</v>
      </c>
      <c r="R55">
        <v>0.82292164373147303</v>
      </c>
      <c r="S55">
        <v>0.71247430755024299</v>
      </c>
      <c r="T55">
        <v>0.94416196915228301</v>
      </c>
      <c r="U55">
        <v>0.99519405385415405</v>
      </c>
      <c r="V55">
        <v>0.99000624105721902</v>
      </c>
      <c r="W55">
        <v>0.99886964734977701</v>
      </c>
      <c r="X55">
        <v>0.14611260053619299</v>
      </c>
      <c r="Y55">
        <v>0.14611260053619299</v>
      </c>
      <c r="Z55">
        <v>0.14611260053619299</v>
      </c>
      <c r="AA55">
        <v>0.87552841555409899</v>
      </c>
      <c r="AB55">
        <v>0.79866290690395103</v>
      </c>
      <c r="AC55">
        <v>0.95249113249497397</v>
      </c>
      <c r="AD55">
        <v>0.90125759817231599</v>
      </c>
      <c r="AE55">
        <v>0.83104625502728902</v>
      </c>
      <c r="AF55">
        <v>0.96921732643423797</v>
      </c>
      <c r="AG55">
        <v>0.99607660311068902</v>
      </c>
      <c r="AH55">
        <v>0.99153687952310499</v>
      </c>
      <c r="AI55">
        <v>0.99913801777071598</v>
      </c>
      <c r="AJ55">
        <v>300</v>
      </c>
      <c r="AK55">
        <v>150</v>
      </c>
      <c r="AL55">
        <v>150</v>
      </c>
      <c r="AM55">
        <v>143</v>
      </c>
      <c r="AN55">
        <v>0</v>
      </c>
      <c r="AO55">
        <v>4</v>
      </c>
      <c r="AP55">
        <v>0</v>
      </c>
      <c r="AQ55">
        <v>2</v>
      </c>
      <c r="AR55">
        <v>5</v>
      </c>
      <c r="AS55">
        <v>1</v>
      </c>
      <c r="AT55">
        <v>145</v>
      </c>
      <c r="AU55">
        <v>145</v>
      </c>
      <c r="AV55">
        <v>3</v>
      </c>
      <c r="AW55">
        <v>5</v>
      </c>
      <c r="AX55">
        <v>147</v>
      </c>
      <c r="AY55">
        <v>0.94666666666666699</v>
      </c>
      <c r="AZ55">
        <v>0.90661686232657401</v>
      </c>
      <c r="BA55">
        <v>0.97997508009968004</v>
      </c>
      <c r="BB55">
        <v>879.5</v>
      </c>
      <c r="BC55">
        <v>1105.92333333333</v>
      </c>
      <c r="BD55">
        <v>147</v>
      </c>
      <c r="BE55">
        <v>153</v>
      </c>
      <c r="BF55">
        <v>0.93179658787761699</v>
      </c>
      <c r="BG55">
        <v>0.99253723274181804</v>
      </c>
      <c r="BH55">
        <v>0.92538652690480006</v>
      </c>
      <c r="BI55">
        <v>0.98930543321192199</v>
      </c>
      <c r="BJ55">
        <v>0.93179658787761699</v>
      </c>
      <c r="BK55">
        <v>0.92538652690480006</v>
      </c>
      <c r="BL55">
        <v>0.99363057324840798</v>
      </c>
      <c r="BM55">
        <v>0.99017646075451005</v>
      </c>
      <c r="BN55">
        <v>2</v>
      </c>
      <c r="BO55" t="s">
        <v>159</v>
      </c>
      <c r="BP55" t="s">
        <v>85</v>
      </c>
      <c r="BQ55" t="s">
        <v>82</v>
      </c>
      <c r="BR55" t="s">
        <v>108</v>
      </c>
      <c r="BS55" t="s">
        <v>86</v>
      </c>
      <c r="BT55">
        <v>0.14599999999999999</v>
      </c>
      <c r="BU55" t="s">
        <v>168</v>
      </c>
      <c r="BV55" t="s">
        <v>182</v>
      </c>
      <c r="BW55">
        <v>0.996</v>
      </c>
      <c r="BX55">
        <v>0.82299999999999995</v>
      </c>
      <c r="BY55">
        <v>0.995</v>
      </c>
      <c r="BZ55">
        <v>0.89200000000000002</v>
      </c>
      <c r="CA55">
        <v>0.90100000000000002</v>
      </c>
      <c r="CB55">
        <v>0.876</v>
      </c>
      <c r="CC55">
        <v>0.94699999999999995</v>
      </c>
    </row>
    <row r="56" spans="1:81" x14ac:dyDescent="0.2">
      <c r="A56" t="s">
        <v>158</v>
      </c>
      <c r="B56" t="s">
        <v>81</v>
      </c>
      <c r="C56" t="s">
        <v>82</v>
      </c>
      <c r="D56" t="s">
        <v>111</v>
      </c>
      <c r="E56" t="s">
        <v>89</v>
      </c>
      <c r="F56" t="s">
        <v>93</v>
      </c>
      <c r="G56" t="s">
        <v>93</v>
      </c>
      <c r="H56">
        <v>0.199499553172475</v>
      </c>
      <c r="I56">
        <v>0.86211117511520696</v>
      </c>
      <c r="J56">
        <v>0.78674926630652098</v>
      </c>
      <c r="K56">
        <v>0.93505532345587195</v>
      </c>
      <c r="L56">
        <v>0.80449292241533799</v>
      </c>
      <c r="M56">
        <v>0.69613852245110897</v>
      </c>
      <c r="N56">
        <v>0.91910617934851802</v>
      </c>
      <c r="O56">
        <v>0.98458850584978097</v>
      </c>
      <c r="P56">
        <v>0.96202145906000802</v>
      </c>
      <c r="Q56">
        <v>1</v>
      </c>
      <c r="R56">
        <v>0.92861944157187104</v>
      </c>
      <c r="S56">
        <v>0.83695935327472304</v>
      </c>
      <c r="T56">
        <v>1</v>
      </c>
      <c r="U56">
        <v>0.95284680207433003</v>
      </c>
      <c r="V56">
        <v>0.91753871235630502</v>
      </c>
      <c r="W56">
        <v>0.98269580792494904</v>
      </c>
      <c r="X56">
        <v>0.199499553172475</v>
      </c>
      <c r="Y56">
        <v>0.169508206729552</v>
      </c>
      <c r="Z56">
        <v>0.23399232769695699</v>
      </c>
      <c r="AA56">
        <v>0.83399558901941095</v>
      </c>
      <c r="AB56">
        <v>0.74275490468222904</v>
      </c>
      <c r="AC56">
        <v>0.92264064417736102</v>
      </c>
      <c r="AD56">
        <v>0.93759855569089701</v>
      </c>
      <c r="AE56">
        <v>0.88635970796381103</v>
      </c>
      <c r="AF56">
        <v>0.97874282413956804</v>
      </c>
      <c r="AG56">
        <v>0.94675300898972004</v>
      </c>
      <c r="AH56">
        <v>0.89397881783750899</v>
      </c>
      <c r="AI56">
        <v>0.98280125443423805</v>
      </c>
      <c r="AJ56">
        <v>300</v>
      </c>
      <c r="AK56">
        <v>150</v>
      </c>
      <c r="AL56">
        <v>150</v>
      </c>
      <c r="AM56">
        <v>144</v>
      </c>
      <c r="AN56">
        <v>3</v>
      </c>
      <c r="AO56">
        <v>5</v>
      </c>
      <c r="AP56">
        <v>6</v>
      </c>
      <c r="AQ56">
        <v>1</v>
      </c>
      <c r="AR56">
        <v>2</v>
      </c>
      <c r="AS56">
        <v>0</v>
      </c>
      <c r="AT56">
        <v>139</v>
      </c>
      <c r="AU56">
        <v>145</v>
      </c>
      <c r="AV56">
        <v>3</v>
      </c>
      <c r="AW56">
        <v>5</v>
      </c>
      <c r="AX56">
        <v>147</v>
      </c>
      <c r="AY56">
        <v>0.94666666666666699</v>
      </c>
      <c r="AZ56">
        <v>0.90663346967810798</v>
      </c>
      <c r="BA56">
        <v>0.979982206405694</v>
      </c>
      <c r="BB56">
        <v>879.5</v>
      </c>
      <c r="BC56">
        <v>1105.92333333333</v>
      </c>
      <c r="BD56">
        <v>158</v>
      </c>
      <c r="BE56">
        <v>142</v>
      </c>
      <c r="BF56">
        <v>0.73321857291428805</v>
      </c>
      <c r="BG56">
        <v>0.86262571750500305</v>
      </c>
      <c r="BH56">
        <v>0.95004936694513997</v>
      </c>
      <c r="BI56">
        <v>0.99828972628833301</v>
      </c>
      <c r="BJ56">
        <v>0.69613852245110897</v>
      </c>
      <c r="BK56">
        <v>0.95004936694513997</v>
      </c>
      <c r="BL56">
        <v>0.91910617934851802</v>
      </c>
      <c r="BM56">
        <v>1</v>
      </c>
      <c r="BN56">
        <v>2</v>
      </c>
      <c r="BO56" t="s">
        <v>159</v>
      </c>
      <c r="BP56" t="s">
        <v>85</v>
      </c>
      <c r="BQ56" t="s">
        <v>82</v>
      </c>
      <c r="BR56" t="s">
        <v>111</v>
      </c>
      <c r="BS56" t="s">
        <v>86</v>
      </c>
      <c r="BT56">
        <v>0.19900000000000001</v>
      </c>
      <c r="BU56" t="s">
        <v>183</v>
      </c>
      <c r="BV56" t="s">
        <v>169</v>
      </c>
      <c r="BW56">
        <v>0.94699999999999995</v>
      </c>
      <c r="BX56">
        <v>0.92900000000000005</v>
      </c>
      <c r="BY56">
        <v>0.95299999999999996</v>
      </c>
      <c r="BZ56">
        <v>0.86199999999999999</v>
      </c>
      <c r="CA56">
        <v>0.93799999999999994</v>
      </c>
      <c r="CB56">
        <v>0.83399999999999996</v>
      </c>
      <c r="CC56">
        <v>0.94699999999999995</v>
      </c>
    </row>
    <row r="57" spans="1:81" x14ac:dyDescent="0.2">
      <c r="A57" t="s">
        <v>158</v>
      </c>
      <c r="B57" t="s">
        <v>81</v>
      </c>
      <c r="C57" t="s">
        <v>82</v>
      </c>
      <c r="D57" t="s">
        <v>114</v>
      </c>
      <c r="E57" t="s">
        <v>89</v>
      </c>
      <c r="F57" t="s">
        <v>93</v>
      </c>
      <c r="G57" t="s">
        <v>93</v>
      </c>
      <c r="H57">
        <v>0.14455317247542401</v>
      </c>
      <c r="I57">
        <v>0.82059945657529798</v>
      </c>
      <c r="J57">
        <v>0.74380613846826804</v>
      </c>
      <c r="K57">
        <v>0.89626327178266696</v>
      </c>
      <c r="L57">
        <v>0.90086859757040005</v>
      </c>
      <c r="M57">
        <v>0.79693831390311098</v>
      </c>
      <c r="N57">
        <v>0.99099497727816299</v>
      </c>
      <c r="O57">
        <v>0.95019039013000794</v>
      </c>
      <c r="P57">
        <v>0.92071336540119497</v>
      </c>
      <c r="Q57">
        <v>0.97468721190422702</v>
      </c>
      <c r="R57">
        <v>0.75346432264736296</v>
      </c>
      <c r="S57">
        <v>0.650079593664732</v>
      </c>
      <c r="T57">
        <v>0.86175041261733898</v>
      </c>
      <c r="U57">
        <v>0.98267610198790001</v>
      </c>
      <c r="V57">
        <v>0.96046978515653303</v>
      </c>
      <c r="W57">
        <v>0.99861610488709496</v>
      </c>
      <c r="X57">
        <v>0.14455317247542401</v>
      </c>
      <c r="Y57">
        <v>0.125714102422956</v>
      </c>
      <c r="Z57">
        <v>0.16791925421610199</v>
      </c>
      <c r="AA57">
        <v>0.79151685048104603</v>
      </c>
      <c r="AB57">
        <v>0.70060916076939606</v>
      </c>
      <c r="AC57">
        <v>0.88039573988447295</v>
      </c>
      <c r="AD57">
        <v>0.85425797522205804</v>
      </c>
      <c r="AE57">
        <v>0.78370721453188996</v>
      </c>
      <c r="AF57">
        <v>0.91907916566285397</v>
      </c>
      <c r="AG57">
        <v>0.986183286886679</v>
      </c>
      <c r="AH57">
        <v>0.964102476232226</v>
      </c>
      <c r="AI57">
        <v>0.99897171496590398</v>
      </c>
      <c r="AJ57">
        <v>300</v>
      </c>
      <c r="AK57">
        <v>150</v>
      </c>
      <c r="AL57">
        <v>150</v>
      </c>
      <c r="AM57">
        <v>125</v>
      </c>
      <c r="AN57">
        <v>1</v>
      </c>
      <c r="AO57">
        <v>3</v>
      </c>
      <c r="AP57">
        <v>2</v>
      </c>
      <c r="AQ57">
        <v>20</v>
      </c>
      <c r="AR57">
        <v>4</v>
      </c>
      <c r="AS57">
        <v>2</v>
      </c>
      <c r="AT57">
        <v>143</v>
      </c>
      <c r="AU57">
        <v>145</v>
      </c>
      <c r="AV57">
        <v>3</v>
      </c>
      <c r="AW57">
        <v>5</v>
      </c>
      <c r="AX57">
        <v>147</v>
      </c>
      <c r="AY57">
        <v>0.94666666666666699</v>
      </c>
      <c r="AZ57">
        <v>0.90646712987707101</v>
      </c>
      <c r="BA57">
        <v>0.97997329773030695</v>
      </c>
      <c r="BB57">
        <v>879.5</v>
      </c>
      <c r="BC57">
        <v>1105.92333333333</v>
      </c>
      <c r="BD57">
        <v>131</v>
      </c>
      <c r="BE57">
        <v>169</v>
      </c>
      <c r="BF57">
        <v>0.83628132405060795</v>
      </c>
      <c r="BG57">
        <v>0.94609457441380695</v>
      </c>
      <c r="BH57">
        <v>0.90885961982058405</v>
      </c>
      <c r="BI57">
        <v>0.97934446453964497</v>
      </c>
      <c r="BJ57">
        <v>0.79693831390311098</v>
      </c>
      <c r="BK57">
        <v>0.90885961982058405</v>
      </c>
      <c r="BL57">
        <v>0.99099497727816299</v>
      </c>
      <c r="BM57">
        <v>0.97934446453964497</v>
      </c>
      <c r="BN57">
        <v>2</v>
      </c>
      <c r="BO57" t="s">
        <v>159</v>
      </c>
      <c r="BP57" t="s">
        <v>85</v>
      </c>
      <c r="BQ57" t="s">
        <v>82</v>
      </c>
      <c r="BR57" t="s">
        <v>114</v>
      </c>
      <c r="BS57" t="s">
        <v>86</v>
      </c>
      <c r="BT57">
        <v>0.14499999999999999</v>
      </c>
      <c r="BU57" t="s">
        <v>184</v>
      </c>
      <c r="BV57" t="s">
        <v>185</v>
      </c>
      <c r="BW57">
        <v>0.98599999999999999</v>
      </c>
      <c r="BX57">
        <v>0.753</v>
      </c>
      <c r="BY57">
        <v>0.98299999999999998</v>
      </c>
      <c r="BZ57">
        <v>0.82099999999999995</v>
      </c>
      <c r="CA57">
        <v>0.85399999999999998</v>
      </c>
      <c r="CB57">
        <v>0.79200000000000004</v>
      </c>
      <c r="CC57">
        <v>0.94699999999999995</v>
      </c>
    </row>
    <row r="58" spans="1:81" x14ac:dyDescent="0.2">
      <c r="A58" t="s">
        <v>158</v>
      </c>
      <c r="B58" t="s">
        <v>81</v>
      </c>
      <c r="C58" t="s">
        <v>82</v>
      </c>
      <c r="D58" t="s">
        <v>117</v>
      </c>
      <c r="E58" t="s">
        <v>89</v>
      </c>
      <c r="F58" t="s">
        <v>93</v>
      </c>
      <c r="G58" t="s">
        <v>93</v>
      </c>
      <c r="H58">
        <v>0.197868305760806</v>
      </c>
      <c r="I58">
        <v>0.86710332635360099</v>
      </c>
      <c r="J58">
        <v>0.78429035810033698</v>
      </c>
      <c r="K58">
        <v>0.94384765944452498</v>
      </c>
      <c r="L58">
        <v>0.79213410674737095</v>
      </c>
      <c r="M58">
        <v>0.67347712547337502</v>
      </c>
      <c r="N58">
        <v>0.91750838202724705</v>
      </c>
      <c r="O58">
        <v>0.99137931034482796</v>
      </c>
      <c r="P58">
        <v>0.97169811320754695</v>
      </c>
      <c r="Q58">
        <v>1</v>
      </c>
      <c r="R58">
        <v>0.95774644184944102</v>
      </c>
      <c r="S58">
        <v>0.87048521559695702</v>
      </c>
      <c r="T58">
        <v>1</v>
      </c>
      <c r="U58">
        <v>0.95082175210528197</v>
      </c>
      <c r="V58">
        <v>0.911463400512177</v>
      </c>
      <c r="W58">
        <v>0.98267326893793905</v>
      </c>
      <c r="X58">
        <v>0.197868305760806</v>
      </c>
      <c r="Y58">
        <v>0.16451754490023501</v>
      </c>
      <c r="Z58">
        <v>0.235232162570122</v>
      </c>
      <c r="AA58">
        <v>0.84372707098134103</v>
      </c>
      <c r="AB58">
        <v>0.74793577666469901</v>
      </c>
      <c r="AC58">
        <v>0.934609704279044</v>
      </c>
      <c r="AD58">
        <v>0.949616227460782</v>
      </c>
      <c r="AE58">
        <v>0.89810197337348596</v>
      </c>
      <c r="AF58">
        <v>0.98651229760798298</v>
      </c>
      <c r="AG58">
        <v>0.94162288434979202</v>
      </c>
      <c r="AH58">
        <v>0.88015601033942004</v>
      </c>
      <c r="AI58">
        <v>0.98273696840185099</v>
      </c>
      <c r="AJ58">
        <v>237</v>
      </c>
      <c r="AK58">
        <v>112</v>
      </c>
      <c r="AL58">
        <v>125</v>
      </c>
      <c r="AM58">
        <v>109</v>
      </c>
      <c r="AN58">
        <v>2</v>
      </c>
      <c r="AO58">
        <v>5</v>
      </c>
      <c r="AP58">
        <v>5</v>
      </c>
      <c r="AQ58">
        <v>0</v>
      </c>
      <c r="AR58">
        <v>1</v>
      </c>
      <c r="AS58">
        <v>0</v>
      </c>
      <c r="AT58">
        <v>115</v>
      </c>
      <c r="AU58">
        <v>107</v>
      </c>
      <c r="AV58">
        <v>3</v>
      </c>
      <c r="AW58">
        <v>4</v>
      </c>
      <c r="AX58">
        <v>123</v>
      </c>
      <c r="AY58">
        <v>0.94065886897735795</v>
      </c>
      <c r="AZ58">
        <v>0.89030512336668199</v>
      </c>
      <c r="BA58">
        <v>0.98278867102396505</v>
      </c>
      <c r="BB58">
        <v>4895</v>
      </c>
      <c r="BC58">
        <v>5199.8270042194099</v>
      </c>
      <c r="BD58">
        <v>121</v>
      </c>
      <c r="BE58">
        <v>116</v>
      </c>
      <c r="BF58">
        <v>0.710291573218368</v>
      </c>
      <c r="BG58">
        <v>0.86160463223884698</v>
      </c>
      <c r="BH58">
        <v>0.95290446377335303</v>
      </c>
      <c r="BI58">
        <v>0.999781766850937</v>
      </c>
      <c r="BJ58">
        <v>0.67347712547337502</v>
      </c>
      <c r="BK58">
        <v>0.95290446377335303</v>
      </c>
      <c r="BL58">
        <v>0.91750838202724705</v>
      </c>
      <c r="BM58">
        <v>1</v>
      </c>
      <c r="BN58">
        <v>2</v>
      </c>
      <c r="BO58" t="s">
        <v>159</v>
      </c>
      <c r="BP58" t="s">
        <v>85</v>
      </c>
      <c r="BQ58" t="s">
        <v>82</v>
      </c>
      <c r="BR58" t="s">
        <v>117</v>
      </c>
      <c r="BS58" t="s">
        <v>100</v>
      </c>
      <c r="BT58">
        <v>0.19800000000000001</v>
      </c>
      <c r="BU58" t="s">
        <v>179</v>
      </c>
      <c r="BV58" t="s">
        <v>180</v>
      </c>
      <c r="BW58">
        <v>0.94199999999999995</v>
      </c>
      <c r="BX58">
        <v>0.95799999999999996</v>
      </c>
      <c r="BY58">
        <v>0.95099999999999996</v>
      </c>
      <c r="BZ58">
        <v>0.86699999999999999</v>
      </c>
      <c r="CA58">
        <v>0.95</v>
      </c>
      <c r="CB58">
        <v>0.84399999999999997</v>
      </c>
      <c r="CC58">
        <v>0.94099999999999995</v>
      </c>
    </row>
    <row r="59" spans="1:81" x14ac:dyDescent="0.2">
      <c r="A59" t="s">
        <v>158</v>
      </c>
      <c r="B59" t="s">
        <v>81</v>
      </c>
      <c r="C59" t="s">
        <v>82</v>
      </c>
      <c r="D59" t="s">
        <v>119</v>
      </c>
      <c r="E59" t="s">
        <v>89</v>
      </c>
      <c r="F59" t="s">
        <v>93</v>
      </c>
      <c r="G59" t="s">
        <v>93</v>
      </c>
      <c r="H59">
        <v>0.14100520132476599</v>
      </c>
      <c r="I59">
        <v>0.85444570378542795</v>
      </c>
      <c r="J59">
        <v>0.77468498810981301</v>
      </c>
      <c r="K59">
        <v>0.92472559965231504</v>
      </c>
      <c r="L59">
        <v>0.92306534528609896</v>
      </c>
      <c r="M59">
        <v>0.82284664917723604</v>
      </c>
      <c r="N59">
        <v>0.99082892380048604</v>
      </c>
      <c r="O59">
        <v>0.96100541325774902</v>
      </c>
      <c r="P59">
        <v>0.93345680653232699</v>
      </c>
      <c r="Q59">
        <v>0.98154375171076302</v>
      </c>
      <c r="R59">
        <v>0.79532233431149801</v>
      </c>
      <c r="S59">
        <v>0.68457107151130603</v>
      </c>
      <c r="T59">
        <v>0.89622690291344298</v>
      </c>
      <c r="U59">
        <v>0.98702908173456505</v>
      </c>
      <c r="V59">
        <v>0.96730175340777902</v>
      </c>
      <c r="W59">
        <v>0.99849864793425802</v>
      </c>
      <c r="X59">
        <v>0.14100520132476599</v>
      </c>
      <c r="Y59">
        <v>0.122417975232989</v>
      </c>
      <c r="Z59">
        <v>0.16489721031580001</v>
      </c>
      <c r="AA59">
        <v>0.83165738728859695</v>
      </c>
      <c r="AB59">
        <v>0.73997133907616697</v>
      </c>
      <c r="AC59">
        <v>0.913112519584659</v>
      </c>
      <c r="AD59">
        <v>0.88174360973216703</v>
      </c>
      <c r="AE59">
        <v>0.80928770284069096</v>
      </c>
      <c r="AF59">
        <v>0.94050724792193796</v>
      </c>
      <c r="AG59">
        <v>0.98923591263027</v>
      </c>
      <c r="AH59">
        <v>0.96923976047414195</v>
      </c>
      <c r="AI59">
        <v>0.99887377689710899</v>
      </c>
      <c r="AJ59">
        <v>237</v>
      </c>
      <c r="AK59">
        <v>112</v>
      </c>
      <c r="AL59">
        <v>125</v>
      </c>
      <c r="AM59">
        <v>94</v>
      </c>
      <c r="AN59">
        <v>1</v>
      </c>
      <c r="AO59">
        <v>3</v>
      </c>
      <c r="AP59">
        <v>1</v>
      </c>
      <c r="AQ59">
        <v>15</v>
      </c>
      <c r="AR59">
        <v>2</v>
      </c>
      <c r="AS59">
        <v>2</v>
      </c>
      <c r="AT59">
        <v>119</v>
      </c>
      <c r="AU59">
        <v>107</v>
      </c>
      <c r="AV59">
        <v>3</v>
      </c>
      <c r="AW59">
        <v>4</v>
      </c>
      <c r="AX59">
        <v>123</v>
      </c>
      <c r="AY59">
        <v>0.94065886897735795</v>
      </c>
      <c r="AZ59">
        <v>0.89027367474990904</v>
      </c>
      <c r="BA59">
        <v>0.98278992084815897</v>
      </c>
      <c r="BB59">
        <v>4895</v>
      </c>
      <c r="BC59">
        <v>5199.8270042194099</v>
      </c>
      <c r="BD59">
        <v>99</v>
      </c>
      <c r="BE59">
        <v>138</v>
      </c>
      <c r="BF59">
        <v>0.84697302001985397</v>
      </c>
      <c r="BG59">
        <v>0.96446648373992405</v>
      </c>
      <c r="BH59">
        <v>0.91747366811895703</v>
      </c>
      <c r="BI59">
        <v>0.98813275774208198</v>
      </c>
      <c r="BJ59">
        <v>0.82284664917723604</v>
      </c>
      <c r="BK59">
        <v>0.91747366811895703</v>
      </c>
      <c r="BL59">
        <v>0.99082892380048604</v>
      </c>
      <c r="BM59">
        <v>0.98813275774208198</v>
      </c>
      <c r="BN59">
        <v>2</v>
      </c>
      <c r="BO59" t="s">
        <v>159</v>
      </c>
      <c r="BP59" t="s">
        <v>85</v>
      </c>
      <c r="BQ59" t="s">
        <v>82</v>
      </c>
      <c r="BR59" t="s">
        <v>119</v>
      </c>
      <c r="BS59" t="s">
        <v>100</v>
      </c>
      <c r="BT59">
        <v>0.14099999999999999</v>
      </c>
      <c r="BU59" t="s">
        <v>177</v>
      </c>
      <c r="BV59" t="s">
        <v>178</v>
      </c>
      <c r="BW59">
        <v>0.98899999999999999</v>
      </c>
      <c r="BX59">
        <v>0.79500000000000004</v>
      </c>
      <c r="BY59">
        <v>0.98699999999999999</v>
      </c>
      <c r="BZ59">
        <v>0.85399999999999998</v>
      </c>
      <c r="CA59">
        <v>0.88200000000000001</v>
      </c>
      <c r="CB59">
        <v>0.83199999999999996</v>
      </c>
      <c r="CC59">
        <v>0.94099999999999995</v>
      </c>
    </row>
    <row r="60" spans="1:81" x14ac:dyDescent="0.2">
      <c r="A60" t="s">
        <v>158</v>
      </c>
      <c r="B60" t="s">
        <v>81</v>
      </c>
      <c r="C60" t="s">
        <v>82</v>
      </c>
      <c r="D60" t="s">
        <v>120</v>
      </c>
      <c r="E60" t="s">
        <v>89</v>
      </c>
      <c r="F60" t="s">
        <v>93</v>
      </c>
      <c r="G60" t="s">
        <v>93</v>
      </c>
      <c r="H60">
        <v>0.16616621983914201</v>
      </c>
      <c r="I60">
        <v>0.96857700216164899</v>
      </c>
      <c r="J60">
        <v>0.92818058859124397</v>
      </c>
      <c r="K60">
        <v>0.99421105706435597</v>
      </c>
      <c r="L60">
        <v>0.98800688394105596</v>
      </c>
      <c r="M60">
        <v>0.96838493265362802</v>
      </c>
      <c r="N60">
        <v>1</v>
      </c>
      <c r="O60">
        <v>0.98961481576747501</v>
      </c>
      <c r="P60">
        <v>0.97342718911750503</v>
      </c>
      <c r="Q60">
        <v>0.99889197817768405</v>
      </c>
      <c r="R60">
        <v>0.94989658738366001</v>
      </c>
      <c r="S60">
        <v>0.877346546483738</v>
      </c>
      <c r="T60">
        <v>0.99470868084803499</v>
      </c>
      <c r="U60">
        <v>0.99759075194468505</v>
      </c>
      <c r="V60">
        <v>0.99375551589487099</v>
      </c>
      <c r="W60">
        <v>1</v>
      </c>
      <c r="X60">
        <v>0.16616621983914201</v>
      </c>
      <c r="Y60">
        <v>0.14648701733715899</v>
      </c>
      <c r="Z60">
        <v>0.19087813429314601</v>
      </c>
      <c r="AA60">
        <v>0.96243658654816799</v>
      </c>
      <c r="AB60">
        <v>0.915406656073248</v>
      </c>
      <c r="AC60">
        <v>0.99303969706092199</v>
      </c>
      <c r="AD60">
        <v>0.97321518482844505</v>
      </c>
      <c r="AE60">
        <v>0.93375521855229604</v>
      </c>
      <c r="AF60">
        <v>0.99688508272427701</v>
      </c>
      <c r="AG60">
        <v>0.99770747081903199</v>
      </c>
      <c r="AH60">
        <v>0.99388517207801597</v>
      </c>
      <c r="AI60">
        <v>1</v>
      </c>
      <c r="AJ60">
        <v>300</v>
      </c>
      <c r="AK60">
        <v>150</v>
      </c>
      <c r="AL60">
        <v>150</v>
      </c>
      <c r="AM60">
        <v>142</v>
      </c>
      <c r="AN60">
        <v>4</v>
      </c>
      <c r="AO60">
        <v>2</v>
      </c>
      <c r="AP60">
        <v>0</v>
      </c>
      <c r="AQ60">
        <v>3</v>
      </c>
      <c r="AR60">
        <v>1</v>
      </c>
      <c r="AS60">
        <v>3</v>
      </c>
      <c r="AT60">
        <v>145</v>
      </c>
      <c r="AU60">
        <v>145</v>
      </c>
      <c r="AV60">
        <v>3</v>
      </c>
      <c r="AW60">
        <v>5</v>
      </c>
      <c r="AX60">
        <v>147</v>
      </c>
      <c r="AY60">
        <v>0.94666666666666699</v>
      </c>
      <c r="AZ60">
        <v>0.90656284760845396</v>
      </c>
      <c r="BA60">
        <v>0.97997508009968004</v>
      </c>
      <c r="BB60">
        <v>879.5</v>
      </c>
      <c r="BC60">
        <v>1105.92333333333</v>
      </c>
      <c r="BD60">
        <v>148</v>
      </c>
      <c r="BE60">
        <v>152</v>
      </c>
      <c r="BF60">
        <v>0.95203863434335401</v>
      </c>
      <c r="BG60">
        <v>0.99835924051988301</v>
      </c>
      <c r="BH60">
        <v>0.95327907802777601</v>
      </c>
      <c r="BI60">
        <v>0.99840252679838803</v>
      </c>
      <c r="BJ60">
        <v>0.95203863434335401</v>
      </c>
      <c r="BK60">
        <v>0.95327907802777601</v>
      </c>
      <c r="BL60">
        <v>1</v>
      </c>
      <c r="BM60">
        <v>0.99889197817768405</v>
      </c>
      <c r="BN60">
        <v>2</v>
      </c>
      <c r="BO60" t="s">
        <v>159</v>
      </c>
      <c r="BP60" t="s">
        <v>85</v>
      </c>
      <c r="BQ60" t="s">
        <v>82</v>
      </c>
      <c r="BR60" t="s">
        <v>120</v>
      </c>
      <c r="BS60" t="s">
        <v>86</v>
      </c>
      <c r="BT60">
        <v>0.16600000000000001</v>
      </c>
      <c r="BU60" t="s">
        <v>157</v>
      </c>
      <c r="BV60" t="s">
        <v>186</v>
      </c>
      <c r="BW60">
        <v>0.998</v>
      </c>
      <c r="BX60">
        <v>0.95</v>
      </c>
      <c r="BY60">
        <v>0.998</v>
      </c>
      <c r="BZ60">
        <v>0.96899999999999997</v>
      </c>
      <c r="CA60">
        <v>0.97299999999999998</v>
      </c>
      <c r="CB60">
        <v>0.96199999999999997</v>
      </c>
      <c r="CC60">
        <v>0.94699999999999995</v>
      </c>
    </row>
    <row r="61" spans="1:81" x14ac:dyDescent="0.2">
      <c r="A61" t="s">
        <v>158</v>
      </c>
      <c r="B61" t="s">
        <v>81</v>
      </c>
      <c r="C61" t="s">
        <v>82</v>
      </c>
      <c r="D61" t="s">
        <v>123</v>
      </c>
      <c r="E61" t="s">
        <v>89</v>
      </c>
      <c r="F61" t="s">
        <v>93</v>
      </c>
      <c r="G61" t="s">
        <v>93</v>
      </c>
      <c r="H61">
        <v>0.17750670241286901</v>
      </c>
      <c r="I61">
        <v>0.98097084406805601</v>
      </c>
      <c r="J61">
        <v>0.94256650277897203</v>
      </c>
      <c r="K61">
        <v>1</v>
      </c>
      <c r="L61">
        <v>0.96805618486633405</v>
      </c>
      <c r="M61">
        <v>0.89805968967777505</v>
      </c>
      <c r="N61">
        <v>1</v>
      </c>
      <c r="O61">
        <v>0.99878853069961004</v>
      </c>
      <c r="P61">
        <v>0.99605571028482498</v>
      </c>
      <c r="Q61">
        <v>1</v>
      </c>
      <c r="R61">
        <v>0.99423474663908895</v>
      </c>
      <c r="S61">
        <v>0.98023576911621502</v>
      </c>
      <c r="T61">
        <v>1</v>
      </c>
      <c r="U61">
        <v>0.99314498703543697</v>
      </c>
      <c r="V61">
        <v>0.97773625597021896</v>
      </c>
      <c r="W61">
        <v>1</v>
      </c>
      <c r="X61">
        <v>0.17750670241286901</v>
      </c>
      <c r="Y61">
        <v>0.153130291396637</v>
      </c>
      <c r="Z61">
        <v>0.20648506549671899</v>
      </c>
      <c r="AA61">
        <v>0.97705827756594199</v>
      </c>
      <c r="AB61">
        <v>0.93233478173863005</v>
      </c>
      <c r="AC61">
        <v>1</v>
      </c>
      <c r="AD61">
        <v>0.99360166225388802</v>
      </c>
      <c r="AE61">
        <v>0.98231381905624204</v>
      </c>
      <c r="AF61">
        <v>1</v>
      </c>
      <c r="AG61">
        <v>0.99296938359549003</v>
      </c>
      <c r="AH61">
        <v>0.97553197159469696</v>
      </c>
      <c r="AI61">
        <v>1</v>
      </c>
      <c r="AJ61">
        <v>300</v>
      </c>
      <c r="AK61">
        <v>150</v>
      </c>
      <c r="AL61">
        <v>150</v>
      </c>
      <c r="AM61">
        <v>144</v>
      </c>
      <c r="AN61">
        <v>5</v>
      </c>
      <c r="AO61">
        <v>0</v>
      </c>
      <c r="AP61">
        <v>1</v>
      </c>
      <c r="AQ61">
        <v>1</v>
      </c>
      <c r="AR61">
        <v>0</v>
      </c>
      <c r="AS61">
        <v>5</v>
      </c>
      <c r="AT61">
        <v>144</v>
      </c>
      <c r="AU61">
        <v>145</v>
      </c>
      <c r="AV61">
        <v>3</v>
      </c>
      <c r="AW61">
        <v>5</v>
      </c>
      <c r="AX61">
        <v>147</v>
      </c>
      <c r="AY61">
        <v>0.94666666666666699</v>
      </c>
      <c r="AZ61">
        <v>0.90652125528600003</v>
      </c>
      <c r="BA61">
        <v>0.97996460403720198</v>
      </c>
      <c r="BB61">
        <v>879.5</v>
      </c>
      <c r="BC61">
        <v>1105.92333333333</v>
      </c>
      <c r="BD61">
        <v>150</v>
      </c>
      <c r="BE61">
        <v>150</v>
      </c>
      <c r="BF61">
        <v>0.92392767746265303</v>
      </c>
      <c r="BG61">
        <v>0.98908981353108905</v>
      </c>
      <c r="BH61">
        <v>0.97570740283389101</v>
      </c>
      <c r="BI61">
        <v>1</v>
      </c>
      <c r="BJ61">
        <v>0.89805968967777505</v>
      </c>
      <c r="BK61">
        <v>0.97570740283389101</v>
      </c>
      <c r="BL61">
        <v>1</v>
      </c>
      <c r="BM61">
        <v>1</v>
      </c>
      <c r="BN61">
        <v>2</v>
      </c>
      <c r="BO61" t="s">
        <v>159</v>
      </c>
      <c r="BP61" t="s">
        <v>85</v>
      </c>
      <c r="BQ61" t="s">
        <v>82</v>
      </c>
      <c r="BR61" t="s">
        <v>123</v>
      </c>
      <c r="BS61" t="s">
        <v>86</v>
      </c>
      <c r="BT61">
        <v>0.17799999999999999</v>
      </c>
      <c r="BU61" t="s">
        <v>187</v>
      </c>
      <c r="BV61" t="s">
        <v>188</v>
      </c>
      <c r="BW61">
        <v>0.99299999999999999</v>
      </c>
      <c r="BX61">
        <v>0.99399999999999999</v>
      </c>
      <c r="BY61">
        <v>0.99299999999999999</v>
      </c>
      <c r="BZ61">
        <v>0.98099999999999998</v>
      </c>
      <c r="CA61">
        <v>0.99399999999999999</v>
      </c>
      <c r="CB61">
        <v>0.97699999999999998</v>
      </c>
      <c r="CC61">
        <v>0.94699999999999995</v>
      </c>
    </row>
    <row r="62" spans="1:81" x14ac:dyDescent="0.2">
      <c r="A62" t="s">
        <v>166</v>
      </c>
      <c r="B62" t="s">
        <v>81</v>
      </c>
      <c r="C62" t="s">
        <v>82</v>
      </c>
      <c r="D62" t="s">
        <v>83</v>
      </c>
      <c r="E62" t="s">
        <v>89</v>
      </c>
      <c r="F62">
        <v>252</v>
      </c>
      <c r="G62">
        <v>963</v>
      </c>
      <c r="H62">
        <v>0.26168224299065401</v>
      </c>
      <c r="I62">
        <v>0.96862637996600798</v>
      </c>
      <c r="J62">
        <v>0.939728531228749</v>
      </c>
      <c r="K62">
        <v>0.99434475198443195</v>
      </c>
      <c r="L62">
        <v>0.95701502077341005</v>
      </c>
      <c r="M62">
        <v>0.91836734693877498</v>
      </c>
      <c r="N62">
        <v>0.99389518002322896</v>
      </c>
      <c r="O62">
        <v>0.993262249591363</v>
      </c>
      <c r="P62">
        <v>0.97826086956521696</v>
      </c>
      <c r="Q62">
        <v>1</v>
      </c>
      <c r="R62">
        <v>0.98052295840997705</v>
      </c>
      <c r="S62">
        <v>0.93977167098674497</v>
      </c>
      <c r="T62">
        <v>1</v>
      </c>
      <c r="U62">
        <v>0.98489318661036696</v>
      </c>
      <c r="V62">
        <v>0.97174313549772595</v>
      </c>
      <c r="W62">
        <v>0.99783441455296895</v>
      </c>
      <c r="X62">
        <v>0.26168224299065401</v>
      </c>
      <c r="Y62">
        <v>0.26168224299065401</v>
      </c>
      <c r="Z62">
        <v>0.26168224299065401</v>
      </c>
      <c r="AA62">
        <v>0.95781679827408295</v>
      </c>
      <c r="AB62">
        <v>0.91916587424455898</v>
      </c>
      <c r="AC62">
        <v>0.99238479099343102</v>
      </c>
      <c r="AD62">
        <v>0.98257243263725702</v>
      </c>
      <c r="AE62">
        <v>0.95985967061079902</v>
      </c>
      <c r="AF62">
        <v>0.997988244664053</v>
      </c>
      <c r="AG62">
        <v>0.98463049236976796</v>
      </c>
      <c r="AH62">
        <v>0.97002429070537899</v>
      </c>
      <c r="AI62">
        <v>0.997882392961429</v>
      </c>
      <c r="AJ62">
        <v>300</v>
      </c>
      <c r="AK62">
        <v>148</v>
      </c>
      <c r="AL62">
        <v>152</v>
      </c>
      <c r="AM62">
        <v>146</v>
      </c>
      <c r="AN62">
        <v>1</v>
      </c>
      <c r="AO62">
        <v>3</v>
      </c>
      <c r="AP62">
        <v>1</v>
      </c>
      <c r="AQ62">
        <v>0</v>
      </c>
      <c r="AR62">
        <v>1</v>
      </c>
      <c r="AS62">
        <v>1</v>
      </c>
      <c r="AT62">
        <v>147</v>
      </c>
      <c r="AU62">
        <v>139</v>
      </c>
      <c r="AV62">
        <v>12</v>
      </c>
      <c r="AW62">
        <v>0</v>
      </c>
      <c r="AX62">
        <v>149</v>
      </c>
      <c r="AY62">
        <v>0.92003909199946698</v>
      </c>
      <c r="AZ62">
        <v>0.87352445193929196</v>
      </c>
      <c r="BA62">
        <v>0.96000888691401898</v>
      </c>
      <c r="BB62">
        <v>744.5</v>
      </c>
      <c r="BC62">
        <v>912.58</v>
      </c>
      <c r="BD62">
        <v>151</v>
      </c>
      <c r="BE62">
        <v>149</v>
      </c>
      <c r="BF62">
        <v>0.91552197973993099</v>
      </c>
      <c r="BG62">
        <v>0.98528054613521299</v>
      </c>
      <c r="BH62">
        <v>0.96317506562911603</v>
      </c>
      <c r="BI62">
        <v>0.99983009626088404</v>
      </c>
      <c r="BJ62">
        <v>0.91552197973993099</v>
      </c>
      <c r="BK62">
        <v>0.96317506562911603</v>
      </c>
      <c r="BL62">
        <v>0.99389518002322896</v>
      </c>
      <c r="BM62">
        <v>1</v>
      </c>
      <c r="BN62">
        <v>3</v>
      </c>
      <c r="BO62" t="s">
        <v>167</v>
      </c>
      <c r="BP62" t="s">
        <v>85</v>
      </c>
      <c r="BQ62" t="s">
        <v>82</v>
      </c>
      <c r="BR62" t="s">
        <v>83</v>
      </c>
      <c r="BS62" t="s">
        <v>86</v>
      </c>
      <c r="BT62">
        <v>0.26200000000000001</v>
      </c>
      <c r="BU62" t="s">
        <v>189</v>
      </c>
      <c r="BV62" t="s">
        <v>138</v>
      </c>
      <c r="BW62">
        <v>0.98499999999999999</v>
      </c>
      <c r="BX62">
        <v>0.98099999999999998</v>
      </c>
      <c r="BY62">
        <v>0.98499999999999999</v>
      </c>
      <c r="BZ62">
        <v>0.96899999999999997</v>
      </c>
      <c r="CA62">
        <v>0.98299999999999998</v>
      </c>
      <c r="CB62">
        <v>0.95799999999999996</v>
      </c>
      <c r="CC62">
        <v>0.92</v>
      </c>
    </row>
    <row r="63" spans="1:81" x14ac:dyDescent="0.2">
      <c r="A63" t="s">
        <v>166</v>
      </c>
      <c r="B63" t="s">
        <v>81</v>
      </c>
      <c r="C63" t="s">
        <v>82</v>
      </c>
      <c r="D63" t="s">
        <v>89</v>
      </c>
      <c r="E63" t="s">
        <v>89</v>
      </c>
      <c r="F63">
        <v>242</v>
      </c>
      <c r="G63">
        <v>963</v>
      </c>
      <c r="H63">
        <v>0.25129802699896198</v>
      </c>
      <c r="I63">
        <v>0.96701973342091596</v>
      </c>
      <c r="J63">
        <v>0.93506202160529095</v>
      </c>
      <c r="K63">
        <v>0.99300699300699302</v>
      </c>
      <c r="L63">
        <v>0.97333333333333305</v>
      </c>
      <c r="M63">
        <v>0.944827586206897</v>
      </c>
      <c r="N63">
        <v>0.99363057324840798</v>
      </c>
      <c r="O63">
        <v>0.98666666666666702</v>
      </c>
      <c r="P63">
        <v>0.965753424657534</v>
      </c>
      <c r="Q63">
        <v>1</v>
      </c>
      <c r="R63">
        <v>0.96078751291673503</v>
      </c>
      <c r="S63">
        <v>0.90514713174560402</v>
      </c>
      <c r="T63">
        <v>1</v>
      </c>
      <c r="U63">
        <v>0.99101006723875296</v>
      </c>
      <c r="V63">
        <v>0.981588446092862</v>
      </c>
      <c r="W63">
        <v>0.99783922783645995</v>
      </c>
      <c r="X63">
        <v>0.25129802699896198</v>
      </c>
      <c r="Y63">
        <v>0.25129802699896198</v>
      </c>
      <c r="Z63">
        <v>0.25129802699896198</v>
      </c>
      <c r="AA63">
        <v>0.95588999207506498</v>
      </c>
      <c r="AB63">
        <v>0.91367136974727403</v>
      </c>
      <c r="AC63">
        <v>0.99072471085452396</v>
      </c>
      <c r="AD63">
        <v>0.97577729264055701</v>
      </c>
      <c r="AE63">
        <v>0.94588710884387805</v>
      </c>
      <c r="AF63">
        <v>0.99764187714374797</v>
      </c>
      <c r="AG63">
        <v>0.99124221305944205</v>
      </c>
      <c r="AH63">
        <v>0.98151472894025704</v>
      </c>
      <c r="AI63">
        <v>0.99795201183036597</v>
      </c>
      <c r="AJ63">
        <v>300</v>
      </c>
      <c r="AK63">
        <v>148</v>
      </c>
      <c r="AL63">
        <v>152</v>
      </c>
      <c r="AM63">
        <v>146</v>
      </c>
      <c r="AN63">
        <v>0</v>
      </c>
      <c r="AO63">
        <v>4</v>
      </c>
      <c r="AP63">
        <v>0</v>
      </c>
      <c r="AQ63">
        <v>0</v>
      </c>
      <c r="AR63">
        <v>2</v>
      </c>
      <c r="AS63">
        <v>0</v>
      </c>
      <c r="AT63">
        <v>148</v>
      </c>
      <c r="AU63">
        <v>139</v>
      </c>
      <c r="AV63">
        <v>12</v>
      </c>
      <c r="AW63">
        <v>0</v>
      </c>
      <c r="AX63">
        <v>149</v>
      </c>
      <c r="AY63">
        <v>0.92003909199946698</v>
      </c>
      <c r="AZ63">
        <v>0.87343458566480103</v>
      </c>
      <c r="BA63">
        <v>0.96</v>
      </c>
      <c r="BB63">
        <v>744.5</v>
      </c>
      <c r="BC63">
        <v>912.58</v>
      </c>
      <c r="BD63">
        <v>150</v>
      </c>
      <c r="BE63">
        <v>150</v>
      </c>
      <c r="BF63">
        <v>0.93313212332251105</v>
      </c>
      <c r="BG63">
        <v>0.99268745360199195</v>
      </c>
      <c r="BH63">
        <v>0.95266698050366405</v>
      </c>
      <c r="BI63">
        <v>0.99838117297016005</v>
      </c>
      <c r="BJ63">
        <v>0.93313212332251105</v>
      </c>
      <c r="BK63">
        <v>0.95266698050366405</v>
      </c>
      <c r="BL63">
        <v>0.99363057324840798</v>
      </c>
      <c r="BM63">
        <v>1</v>
      </c>
      <c r="BN63">
        <v>3</v>
      </c>
      <c r="BO63" t="s">
        <v>167</v>
      </c>
      <c r="BP63" t="s">
        <v>85</v>
      </c>
      <c r="BQ63" t="s">
        <v>82</v>
      </c>
      <c r="BR63" t="s">
        <v>89</v>
      </c>
      <c r="BS63" t="s">
        <v>86</v>
      </c>
      <c r="BT63">
        <v>0.251</v>
      </c>
      <c r="BU63" t="s">
        <v>168</v>
      </c>
      <c r="BV63" t="s">
        <v>91</v>
      </c>
      <c r="BW63">
        <v>0.99099999999999999</v>
      </c>
      <c r="BX63">
        <v>0.96099999999999997</v>
      </c>
      <c r="BY63">
        <v>0.99099999999999999</v>
      </c>
      <c r="BZ63">
        <v>0.96699999999999997</v>
      </c>
      <c r="CA63">
        <v>0.97599999999999998</v>
      </c>
      <c r="CB63">
        <v>0.95599999999999996</v>
      </c>
      <c r="CC63">
        <v>0.92</v>
      </c>
    </row>
    <row r="64" spans="1:81" x14ac:dyDescent="0.2">
      <c r="A64" t="s">
        <v>166</v>
      </c>
      <c r="B64" t="s">
        <v>81</v>
      </c>
      <c r="C64" t="s">
        <v>82</v>
      </c>
      <c r="D64" t="s">
        <v>92</v>
      </c>
      <c r="E64" t="s">
        <v>89</v>
      </c>
      <c r="F64" t="s">
        <v>93</v>
      </c>
      <c r="G64" t="s">
        <v>93</v>
      </c>
      <c r="H64">
        <v>0.17922464520595399</v>
      </c>
      <c r="I64">
        <v>0.78783333067360295</v>
      </c>
      <c r="J64">
        <v>0.72546810040767895</v>
      </c>
      <c r="K64">
        <v>0.84458860130217905</v>
      </c>
      <c r="L64">
        <v>0.95345513538568505</v>
      </c>
      <c r="M64">
        <v>0.88812198139157295</v>
      </c>
      <c r="N64">
        <v>1</v>
      </c>
      <c r="O64">
        <v>0.89802717588414405</v>
      </c>
      <c r="P64">
        <v>0.87072180954625999</v>
      </c>
      <c r="Q64">
        <v>0.92274231282388197</v>
      </c>
      <c r="R64">
        <v>0.67123511176374595</v>
      </c>
      <c r="S64">
        <v>0.59126023134449102</v>
      </c>
      <c r="T64">
        <v>0.75032797713849797</v>
      </c>
      <c r="U64">
        <v>0.98880901965154699</v>
      </c>
      <c r="V64">
        <v>0.97142608712834899</v>
      </c>
      <c r="W64">
        <v>1</v>
      </c>
      <c r="X64">
        <v>0.17922464520595399</v>
      </c>
      <c r="Y64">
        <v>0.15904848559246701</v>
      </c>
      <c r="Z64">
        <v>0.20049830759756401</v>
      </c>
      <c r="AA64">
        <v>0.74967719890468898</v>
      </c>
      <c r="AB64">
        <v>0.67943945793571603</v>
      </c>
      <c r="AC64">
        <v>0.81446125201563802</v>
      </c>
      <c r="AD64">
        <v>0.80097843624046805</v>
      </c>
      <c r="AE64">
        <v>0.74113240410569803</v>
      </c>
      <c r="AF64">
        <v>0.85433442025131101</v>
      </c>
      <c r="AG64">
        <v>0.99289566858238498</v>
      </c>
      <c r="AH64">
        <v>0.980495793807309</v>
      </c>
      <c r="AI64">
        <v>1</v>
      </c>
      <c r="AJ64">
        <v>300</v>
      </c>
      <c r="AK64">
        <v>148</v>
      </c>
      <c r="AL64">
        <v>152</v>
      </c>
      <c r="AM64">
        <v>102</v>
      </c>
      <c r="AN64">
        <v>0</v>
      </c>
      <c r="AO64">
        <v>2</v>
      </c>
      <c r="AP64">
        <v>1</v>
      </c>
      <c r="AQ64">
        <v>44</v>
      </c>
      <c r="AR64">
        <v>2</v>
      </c>
      <c r="AS64">
        <v>2</v>
      </c>
      <c r="AT64">
        <v>147</v>
      </c>
      <c r="AU64">
        <v>139</v>
      </c>
      <c r="AV64">
        <v>12</v>
      </c>
      <c r="AW64">
        <v>0</v>
      </c>
      <c r="AX64">
        <v>149</v>
      </c>
      <c r="AY64">
        <v>0.92003909199946698</v>
      </c>
      <c r="AZ64">
        <v>0.87343458566480103</v>
      </c>
      <c r="BA64">
        <v>0.95997153531400103</v>
      </c>
      <c r="BB64">
        <v>744.5</v>
      </c>
      <c r="BC64">
        <v>912.58</v>
      </c>
      <c r="BD64">
        <v>105</v>
      </c>
      <c r="BE64">
        <v>195</v>
      </c>
      <c r="BF64">
        <v>0.89236543421393899</v>
      </c>
      <c r="BG64">
        <v>0.98435970786082605</v>
      </c>
      <c r="BH64">
        <v>0.84604757581226697</v>
      </c>
      <c r="BI64">
        <v>0.93621731990733204</v>
      </c>
      <c r="BJ64">
        <v>0.88812198139157295</v>
      </c>
      <c r="BK64">
        <v>0.84604757581226697</v>
      </c>
      <c r="BL64">
        <v>1</v>
      </c>
      <c r="BM64">
        <v>0.93621731990733204</v>
      </c>
      <c r="BN64">
        <v>3</v>
      </c>
      <c r="BO64" t="s">
        <v>167</v>
      </c>
      <c r="BP64" t="s">
        <v>85</v>
      </c>
      <c r="BQ64" t="s">
        <v>82</v>
      </c>
      <c r="BR64" t="s">
        <v>92</v>
      </c>
      <c r="BS64" t="s">
        <v>86</v>
      </c>
      <c r="BT64">
        <v>0.17899999999999999</v>
      </c>
      <c r="BU64" t="s">
        <v>190</v>
      </c>
      <c r="BV64" t="s">
        <v>191</v>
      </c>
      <c r="BW64">
        <v>0.99299999999999999</v>
      </c>
      <c r="BX64">
        <v>0.67100000000000004</v>
      </c>
      <c r="BY64">
        <v>0.98899999999999999</v>
      </c>
      <c r="BZ64">
        <v>0.78800000000000003</v>
      </c>
      <c r="CA64">
        <v>0.80100000000000005</v>
      </c>
      <c r="CB64">
        <v>0.75</v>
      </c>
      <c r="CC64">
        <v>0.92</v>
      </c>
    </row>
    <row r="65" spans="1:81" x14ac:dyDescent="0.2">
      <c r="A65" t="s">
        <v>166</v>
      </c>
      <c r="B65" t="s">
        <v>81</v>
      </c>
      <c r="C65" t="s">
        <v>82</v>
      </c>
      <c r="D65" t="s">
        <v>96</v>
      </c>
      <c r="E65" t="s">
        <v>89</v>
      </c>
      <c r="F65" t="s">
        <v>93</v>
      </c>
      <c r="G65" t="s">
        <v>93</v>
      </c>
      <c r="H65">
        <v>0.244458290065767</v>
      </c>
      <c r="I65">
        <v>0.89956440917792602</v>
      </c>
      <c r="J65">
        <v>0.85155899454972905</v>
      </c>
      <c r="K65">
        <v>0.94236694777164198</v>
      </c>
      <c r="L65">
        <v>0.91818645219755302</v>
      </c>
      <c r="M65">
        <v>0.84698770639996002</v>
      </c>
      <c r="N65">
        <v>0.97916666666666696</v>
      </c>
      <c r="O65">
        <v>0.96013304256995702</v>
      </c>
      <c r="P65">
        <v>0.93833032045776599</v>
      </c>
      <c r="Q65">
        <v>0.97905130117419903</v>
      </c>
      <c r="R65">
        <v>0.88168271061075798</v>
      </c>
      <c r="S65">
        <v>0.81920648474114</v>
      </c>
      <c r="T65">
        <v>0.93767663835668003</v>
      </c>
      <c r="U65">
        <v>0.97316950852557704</v>
      </c>
      <c r="V65">
        <v>0.94645021533246299</v>
      </c>
      <c r="W65">
        <v>0.99344341591947305</v>
      </c>
      <c r="X65">
        <v>0.244458290065767</v>
      </c>
      <c r="Y65">
        <v>0.22283023719266301</v>
      </c>
      <c r="Z65">
        <v>0.26917408642511298</v>
      </c>
      <c r="AA65">
        <v>0.86650641614053303</v>
      </c>
      <c r="AB65">
        <v>0.80156714795612005</v>
      </c>
      <c r="AC65">
        <v>0.92397826589170295</v>
      </c>
      <c r="AD65">
        <v>0.926091618402202</v>
      </c>
      <c r="AE65">
        <v>0.89020079424885301</v>
      </c>
      <c r="AF65">
        <v>0.95723199544966298</v>
      </c>
      <c r="AG65">
        <v>0.97521141308533799</v>
      </c>
      <c r="AH65">
        <v>0.94623398003402004</v>
      </c>
      <c r="AI65">
        <v>0.99436819926272901</v>
      </c>
      <c r="AJ65">
        <v>300</v>
      </c>
      <c r="AK65">
        <v>148</v>
      </c>
      <c r="AL65">
        <v>152</v>
      </c>
      <c r="AM65">
        <v>131</v>
      </c>
      <c r="AN65">
        <v>1</v>
      </c>
      <c r="AO65">
        <v>3</v>
      </c>
      <c r="AP65">
        <v>3</v>
      </c>
      <c r="AQ65">
        <v>15</v>
      </c>
      <c r="AR65">
        <v>1</v>
      </c>
      <c r="AS65">
        <v>1</v>
      </c>
      <c r="AT65">
        <v>145</v>
      </c>
      <c r="AU65">
        <v>139</v>
      </c>
      <c r="AV65">
        <v>12</v>
      </c>
      <c r="AW65">
        <v>0</v>
      </c>
      <c r="AX65">
        <v>149</v>
      </c>
      <c r="AY65">
        <v>0.92003909199946698</v>
      </c>
      <c r="AZ65">
        <v>0.87309644670050801</v>
      </c>
      <c r="BA65">
        <v>0.96</v>
      </c>
      <c r="BB65">
        <v>744.5</v>
      </c>
      <c r="BC65">
        <v>912.58</v>
      </c>
      <c r="BD65">
        <v>138</v>
      </c>
      <c r="BE65">
        <v>162</v>
      </c>
      <c r="BF65">
        <v>0.86185295837748399</v>
      </c>
      <c r="BG65">
        <v>0.95953743984622797</v>
      </c>
      <c r="BH65">
        <v>0.92113178192359002</v>
      </c>
      <c r="BI65">
        <v>0.98628884593896304</v>
      </c>
      <c r="BJ65">
        <v>0.84698770639996002</v>
      </c>
      <c r="BK65">
        <v>0.92113178192359002</v>
      </c>
      <c r="BL65">
        <v>0.97916666666666696</v>
      </c>
      <c r="BM65">
        <v>0.98628884593896304</v>
      </c>
      <c r="BN65">
        <v>3</v>
      </c>
      <c r="BO65" t="s">
        <v>167</v>
      </c>
      <c r="BP65" t="s">
        <v>85</v>
      </c>
      <c r="BQ65" t="s">
        <v>82</v>
      </c>
      <c r="BR65" t="s">
        <v>96</v>
      </c>
      <c r="BS65" t="s">
        <v>86</v>
      </c>
      <c r="BT65">
        <v>0.24399999999999999</v>
      </c>
      <c r="BU65" t="s">
        <v>192</v>
      </c>
      <c r="BV65" t="s">
        <v>193</v>
      </c>
      <c r="BW65">
        <v>0.97499999999999998</v>
      </c>
      <c r="BX65">
        <v>0.88200000000000001</v>
      </c>
      <c r="BY65">
        <v>0.97299999999999998</v>
      </c>
      <c r="BZ65">
        <v>0.9</v>
      </c>
      <c r="CA65">
        <v>0.92600000000000005</v>
      </c>
      <c r="CB65">
        <v>0.86699999999999999</v>
      </c>
      <c r="CC65">
        <v>0.92</v>
      </c>
    </row>
    <row r="66" spans="1:81" x14ac:dyDescent="0.2">
      <c r="A66" t="s">
        <v>166</v>
      </c>
      <c r="B66" t="s">
        <v>81</v>
      </c>
      <c r="C66" t="s">
        <v>82</v>
      </c>
      <c r="D66" t="s">
        <v>99</v>
      </c>
      <c r="E66" t="s">
        <v>89</v>
      </c>
      <c r="F66" t="s">
        <v>93</v>
      </c>
      <c r="G66" t="s">
        <v>93</v>
      </c>
      <c r="H66">
        <v>0.24490909410915701</v>
      </c>
      <c r="I66">
        <v>0.97475274556810898</v>
      </c>
      <c r="J66">
        <v>0.943297432090348</v>
      </c>
      <c r="K66">
        <v>0.99601593625497997</v>
      </c>
      <c r="L66">
        <v>0.99130434782608701</v>
      </c>
      <c r="M66">
        <v>0.97169811320754695</v>
      </c>
      <c r="N66">
        <v>1</v>
      </c>
      <c r="O66">
        <v>0.98616470133161505</v>
      </c>
      <c r="P66">
        <v>0.96548817303600298</v>
      </c>
      <c r="Q66">
        <v>1</v>
      </c>
      <c r="R66">
        <v>0.95874478357396697</v>
      </c>
      <c r="S66">
        <v>0.90174444871604198</v>
      </c>
      <c r="T66">
        <v>1</v>
      </c>
      <c r="U66">
        <v>0.99714820639498303</v>
      </c>
      <c r="V66">
        <v>0.99080459411753197</v>
      </c>
      <c r="W66">
        <v>1</v>
      </c>
      <c r="X66">
        <v>0.24490909410915701</v>
      </c>
      <c r="Y66">
        <v>0.23687730714887101</v>
      </c>
      <c r="Z66">
        <v>0.25129802699896198</v>
      </c>
      <c r="AA66">
        <v>0.96662082121246595</v>
      </c>
      <c r="AB66">
        <v>0.92565853972200196</v>
      </c>
      <c r="AC66">
        <v>0.99471371738250103</v>
      </c>
      <c r="AD66">
        <v>0.97763264866131006</v>
      </c>
      <c r="AE66">
        <v>0.94723036163734797</v>
      </c>
      <c r="AF66">
        <v>0.99858368279176601</v>
      </c>
      <c r="AG66">
        <v>0.99727967493699998</v>
      </c>
      <c r="AH66">
        <v>0.99101047620403604</v>
      </c>
      <c r="AI66">
        <v>1</v>
      </c>
      <c r="AJ66">
        <v>239</v>
      </c>
      <c r="AK66">
        <v>117</v>
      </c>
      <c r="AL66">
        <v>122</v>
      </c>
      <c r="AM66">
        <v>114</v>
      </c>
      <c r="AN66">
        <v>0</v>
      </c>
      <c r="AO66">
        <v>1</v>
      </c>
      <c r="AP66">
        <v>0</v>
      </c>
      <c r="AQ66">
        <v>2</v>
      </c>
      <c r="AR66">
        <v>1</v>
      </c>
      <c r="AS66">
        <v>1</v>
      </c>
      <c r="AT66">
        <v>120</v>
      </c>
      <c r="AU66">
        <v>114</v>
      </c>
      <c r="AV66">
        <v>4</v>
      </c>
      <c r="AW66">
        <v>0</v>
      </c>
      <c r="AX66">
        <v>121</v>
      </c>
      <c r="AY66">
        <v>0.96650784753363195</v>
      </c>
      <c r="AZ66">
        <v>0.93260961511349205</v>
      </c>
      <c r="BA66">
        <v>0.991631359641444</v>
      </c>
      <c r="BB66">
        <v>4577</v>
      </c>
      <c r="BC66">
        <v>4849.5690376569</v>
      </c>
      <c r="BD66">
        <v>115</v>
      </c>
      <c r="BE66">
        <v>124</v>
      </c>
      <c r="BF66">
        <v>0.95250305311500505</v>
      </c>
      <c r="BG66">
        <v>0.99977986938026397</v>
      </c>
      <c r="BH66">
        <v>0.94295102786135299</v>
      </c>
      <c r="BI66">
        <v>0.99804069584308297</v>
      </c>
      <c r="BJ66">
        <v>0.95250305311500505</v>
      </c>
      <c r="BK66">
        <v>0.94295102786135299</v>
      </c>
      <c r="BL66">
        <v>1</v>
      </c>
      <c r="BM66">
        <v>1</v>
      </c>
      <c r="BN66">
        <v>3</v>
      </c>
      <c r="BO66" t="s">
        <v>167</v>
      </c>
      <c r="BP66" t="s">
        <v>85</v>
      </c>
      <c r="BQ66" t="s">
        <v>82</v>
      </c>
      <c r="BR66" t="s">
        <v>99</v>
      </c>
      <c r="BS66" t="s">
        <v>100</v>
      </c>
      <c r="BT66">
        <v>0.245</v>
      </c>
      <c r="BU66" t="s">
        <v>180</v>
      </c>
      <c r="BV66" t="s">
        <v>194</v>
      </c>
      <c r="BW66">
        <v>0.997</v>
      </c>
      <c r="BX66">
        <v>0.95899999999999996</v>
      </c>
      <c r="BY66">
        <v>0.997</v>
      </c>
      <c r="BZ66">
        <v>0.97499999999999998</v>
      </c>
      <c r="CA66">
        <v>0.97799999999999998</v>
      </c>
      <c r="CB66">
        <v>0.96699999999999997</v>
      </c>
      <c r="CC66">
        <v>0.96699999999999997</v>
      </c>
    </row>
    <row r="67" spans="1:81" x14ac:dyDescent="0.2">
      <c r="A67" t="s">
        <v>166</v>
      </c>
      <c r="B67" t="s">
        <v>81</v>
      </c>
      <c r="C67" t="s">
        <v>82</v>
      </c>
      <c r="D67" t="s">
        <v>103</v>
      </c>
      <c r="E67" t="s">
        <v>89</v>
      </c>
      <c r="F67" t="s">
        <v>93</v>
      </c>
      <c r="G67" t="s">
        <v>93</v>
      </c>
      <c r="H67">
        <v>0.25535600231393901</v>
      </c>
      <c r="I67">
        <v>0.97147977466164803</v>
      </c>
      <c r="J67">
        <v>0.93445409058670803</v>
      </c>
      <c r="K67">
        <v>1</v>
      </c>
      <c r="L67">
        <v>0.96742875110507598</v>
      </c>
      <c r="M67">
        <v>0.91336167556896097</v>
      </c>
      <c r="N67">
        <v>1</v>
      </c>
      <c r="O67">
        <v>0.99169049957992494</v>
      </c>
      <c r="P67">
        <v>0.97297297297297303</v>
      </c>
      <c r="Q67">
        <v>1</v>
      </c>
      <c r="R67">
        <v>0.97556486749631699</v>
      </c>
      <c r="S67">
        <v>0.92449554117067101</v>
      </c>
      <c r="T67">
        <v>1</v>
      </c>
      <c r="U67">
        <v>0.988862402955067</v>
      </c>
      <c r="V67">
        <v>0.96875</v>
      </c>
      <c r="W67">
        <v>1</v>
      </c>
      <c r="X67">
        <v>0.25535600231393901</v>
      </c>
      <c r="Y67">
        <v>0.24521823602317999</v>
      </c>
      <c r="Z67">
        <v>0.270167216161323</v>
      </c>
      <c r="AA67">
        <v>0.96176959869581602</v>
      </c>
      <c r="AB67">
        <v>0.91189882499840103</v>
      </c>
      <c r="AC67">
        <v>1</v>
      </c>
      <c r="AD67">
        <v>0.98216846205888098</v>
      </c>
      <c r="AE67">
        <v>0.95338370084991297</v>
      </c>
      <c r="AF67">
        <v>1</v>
      </c>
      <c r="AG67">
        <v>0.98886206529849896</v>
      </c>
      <c r="AH67">
        <v>0.96704996207946203</v>
      </c>
      <c r="AI67">
        <v>1</v>
      </c>
      <c r="AJ67">
        <v>239</v>
      </c>
      <c r="AK67">
        <v>117</v>
      </c>
      <c r="AL67">
        <v>122</v>
      </c>
      <c r="AM67">
        <v>116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119</v>
      </c>
      <c r="AU67">
        <v>114</v>
      </c>
      <c r="AV67">
        <v>4</v>
      </c>
      <c r="AW67">
        <v>0</v>
      </c>
      <c r="AX67">
        <v>121</v>
      </c>
      <c r="AY67">
        <v>0.96650784753363195</v>
      </c>
      <c r="AZ67">
        <v>0.93198634035287398</v>
      </c>
      <c r="BA67">
        <v>0.99162964505642304</v>
      </c>
      <c r="BB67">
        <v>4577</v>
      </c>
      <c r="BC67">
        <v>4849.5690376569</v>
      </c>
      <c r="BD67">
        <v>118</v>
      </c>
      <c r="BE67">
        <v>121</v>
      </c>
      <c r="BF67">
        <v>0.91547948470470997</v>
      </c>
      <c r="BG67">
        <v>0.99068803505040903</v>
      </c>
      <c r="BH67">
        <v>0.95481388547921697</v>
      </c>
      <c r="BI67">
        <v>0.99979078380624598</v>
      </c>
      <c r="BJ67">
        <v>0.91336167556896097</v>
      </c>
      <c r="BK67">
        <v>0.95481388547921697</v>
      </c>
      <c r="BL67">
        <v>1</v>
      </c>
      <c r="BM67">
        <v>1</v>
      </c>
      <c r="BN67">
        <v>3</v>
      </c>
      <c r="BO67" t="s">
        <v>167</v>
      </c>
      <c r="BP67" t="s">
        <v>85</v>
      </c>
      <c r="BQ67" t="s">
        <v>82</v>
      </c>
      <c r="BR67" t="s">
        <v>103</v>
      </c>
      <c r="BS67" t="s">
        <v>100</v>
      </c>
      <c r="BT67">
        <v>0.255</v>
      </c>
      <c r="BU67" t="s">
        <v>195</v>
      </c>
      <c r="BV67" t="s">
        <v>196</v>
      </c>
      <c r="BW67">
        <v>0.98899999999999999</v>
      </c>
      <c r="BX67">
        <v>0.97599999999999998</v>
      </c>
      <c r="BY67">
        <v>0.98899999999999999</v>
      </c>
      <c r="BZ67">
        <v>0.97099999999999997</v>
      </c>
      <c r="CA67">
        <v>0.98199999999999998</v>
      </c>
      <c r="CB67">
        <v>0.96199999999999997</v>
      </c>
      <c r="CC67">
        <v>0.96699999999999997</v>
      </c>
    </row>
    <row r="68" spans="1:81" x14ac:dyDescent="0.2">
      <c r="A68" t="s">
        <v>166</v>
      </c>
      <c r="B68" t="s">
        <v>81</v>
      </c>
      <c r="C68" t="s">
        <v>82</v>
      </c>
      <c r="D68" t="s">
        <v>106</v>
      </c>
      <c r="E68" t="s">
        <v>89</v>
      </c>
      <c r="F68">
        <v>254</v>
      </c>
      <c r="G68">
        <v>963</v>
      </c>
      <c r="H68">
        <v>0.26375908618899302</v>
      </c>
      <c r="I68">
        <v>0.96357451921125503</v>
      </c>
      <c r="J68">
        <v>0.93299337608004895</v>
      </c>
      <c r="K68">
        <v>0.99344141136458197</v>
      </c>
      <c r="L68">
        <v>0.94724409448818903</v>
      </c>
      <c r="M68">
        <v>0.90354330708661401</v>
      </c>
      <c r="N68">
        <v>0.99328859060402697</v>
      </c>
      <c r="O68">
        <v>0.99324324324324298</v>
      </c>
      <c r="P68">
        <v>0.97841726618705005</v>
      </c>
      <c r="Q68">
        <v>1</v>
      </c>
      <c r="R68">
        <v>0.98047789238334904</v>
      </c>
      <c r="S68">
        <v>0.93971832547338896</v>
      </c>
      <c r="T68">
        <v>1</v>
      </c>
      <c r="U68">
        <v>0.98132689052051603</v>
      </c>
      <c r="V68">
        <v>0.96636455892325201</v>
      </c>
      <c r="W68">
        <v>0.99758550789261702</v>
      </c>
      <c r="X68">
        <v>0.26375908618899302</v>
      </c>
      <c r="Y68">
        <v>0.26375908618899302</v>
      </c>
      <c r="Z68">
        <v>0.26375908618899302</v>
      </c>
      <c r="AA68">
        <v>0.95108633661230502</v>
      </c>
      <c r="AB68">
        <v>0.91035177361596797</v>
      </c>
      <c r="AC68">
        <v>0.99115181555975795</v>
      </c>
      <c r="AD68">
        <v>0.98064512299172002</v>
      </c>
      <c r="AE68">
        <v>0.95797210553608403</v>
      </c>
      <c r="AF68">
        <v>0.99764044740067803</v>
      </c>
      <c r="AG68">
        <v>0.98081241065562896</v>
      </c>
      <c r="AH68">
        <v>0.96377102076339405</v>
      </c>
      <c r="AI68">
        <v>0.99762275213392704</v>
      </c>
      <c r="AJ68">
        <v>300</v>
      </c>
      <c r="AK68">
        <v>148</v>
      </c>
      <c r="AL68">
        <v>152</v>
      </c>
      <c r="AM68">
        <v>146</v>
      </c>
      <c r="AN68">
        <v>1</v>
      </c>
      <c r="AO68">
        <v>4</v>
      </c>
      <c r="AP68">
        <v>1</v>
      </c>
      <c r="AQ68">
        <v>0</v>
      </c>
      <c r="AR68">
        <v>1</v>
      </c>
      <c r="AS68">
        <v>0</v>
      </c>
      <c r="AT68">
        <v>147</v>
      </c>
      <c r="AU68">
        <v>139</v>
      </c>
      <c r="AV68">
        <v>12</v>
      </c>
      <c r="AW68">
        <v>0</v>
      </c>
      <c r="AX68">
        <v>149</v>
      </c>
      <c r="AY68">
        <v>0.92003909199946698</v>
      </c>
      <c r="AZ68">
        <v>0.87309644670050801</v>
      </c>
      <c r="BA68">
        <v>0.96</v>
      </c>
      <c r="BB68">
        <v>744.5</v>
      </c>
      <c r="BC68">
        <v>912.58</v>
      </c>
      <c r="BD68">
        <v>152</v>
      </c>
      <c r="BE68">
        <v>148</v>
      </c>
      <c r="BF68">
        <v>0.89893026289874101</v>
      </c>
      <c r="BG68">
        <v>0.97700651228527002</v>
      </c>
      <c r="BH68">
        <v>0.96293008255702695</v>
      </c>
      <c r="BI68">
        <v>0.99982894836083602</v>
      </c>
      <c r="BJ68">
        <v>0.89893026289874101</v>
      </c>
      <c r="BK68">
        <v>0.96293008255702695</v>
      </c>
      <c r="BL68">
        <v>0.99328859060402697</v>
      </c>
      <c r="BM68">
        <v>1</v>
      </c>
      <c r="BN68">
        <v>3</v>
      </c>
      <c r="BO68" t="s">
        <v>167</v>
      </c>
      <c r="BP68" t="s">
        <v>85</v>
      </c>
      <c r="BQ68" t="s">
        <v>82</v>
      </c>
      <c r="BR68" t="s">
        <v>106</v>
      </c>
      <c r="BS68" t="s">
        <v>86</v>
      </c>
      <c r="BT68">
        <v>0.26400000000000001</v>
      </c>
      <c r="BU68" t="s">
        <v>197</v>
      </c>
      <c r="BV68" t="s">
        <v>138</v>
      </c>
      <c r="BW68">
        <v>0.98099999999999998</v>
      </c>
      <c r="BX68">
        <v>0.98</v>
      </c>
      <c r="BY68">
        <v>0.98099999999999998</v>
      </c>
      <c r="BZ68">
        <v>0.96399999999999997</v>
      </c>
      <c r="CA68">
        <v>0.98099999999999998</v>
      </c>
      <c r="CB68">
        <v>0.95099999999999996</v>
      </c>
      <c r="CC68">
        <v>0.92</v>
      </c>
    </row>
    <row r="69" spans="1:81" x14ac:dyDescent="0.2">
      <c r="A69" t="s">
        <v>166</v>
      </c>
      <c r="B69" t="s">
        <v>81</v>
      </c>
      <c r="C69" t="s">
        <v>82</v>
      </c>
      <c r="D69" t="s">
        <v>108</v>
      </c>
      <c r="E69" t="s">
        <v>89</v>
      </c>
      <c r="F69">
        <v>240</v>
      </c>
      <c r="G69">
        <v>963</v>
      </c>
      <c r="H69">
        <v>0.249221183800623</v>
      </c>
      <c r="I69">
        <v>0.97020191681330803</v>
      </c>
      <c r="J69">
        <v>0.93766234539089599</v>
      </c>
      <c r="K69">
        <v>0.99639053866956495</v>
      </c>
      <c r="L69">
        <v>0.97986577181208101</v>
      </c>
      <c r="M69">
        <v>0.95483870967741902</v>
      </c>
      <c r="N69">
        <v>1</v>
      </c>
      <c r="O69">
        <v>0.98670355002305199</v>
      </c>
      <c r="P69">
        <v>0.96513168712338804</v>
      </c>
      <c r="Q69">
        <v>1</v>
      </c>
      <c r="R69">
        <v>0.96072681835280704</v>
      </c>
      <c r="S69">
        <v>0.90298706281915198</v>
      </c>
      <c r="T69">
        <v>1</v>
      </c>
      <c r="U69">
        <v>0.99327194690918197</v>
      </c>
      <c r="V69">
        <v>0.98503980603711405</v>
      </c>
      <c r="W69">
        <v>1</v>
      </c>
      <c r="X69">
        <v>0.249221183800623</v>
      </c>
      <c r="Y69">
        <v>0.249221183800623</v>
      </c>
      <c r="Z69">
        <v>0.249221183800623</v>
      </c>
      <c r="AA69">
        <v>0.96026347403763901</v>
      </c>
      <c r="AB69">
        <v>0.91705636845903105</v>
      </c>
      <c r="AC69">
        <v>0.99520960448056195</v>
      </c>
      <c r="AD69">
        <v>0.97683359452477103</v>
      </c>
      <c r="AE69">
        <v>0.94578843597314599</v>
      </c>
      <c r="AF69">
        <v>0.99879894244892897</v>
      </c>
      <c r="AG69">
        <v>0.99348964601817402</v>
      </c>
      <c r="AH69">
        <v>0.98517039302460396</v>
      </c>
      <c r="AI69">
        <v>1</v>
      </c>
      <c r="AJ69">
        <v>300</v>
      </c>
      <c r="AK69">
        <v>148</v>
      </c>
      <c r="AL69">
        <v>152</v>
      </c>
      <c r="AM69">
        <v>146</v>
      </c>
      <c r="AN69">
        <v>0</v>
      </c>
      <c r="AO69">
        <v>3</v>
      </c>
      <c r="AP69">
        <v>0</v>
      </c>
      <c r="AQ69">
        <v>0</v>
      </c>
      <c r="AR69">
        <v>2</v>
      </c>
      <c r="AS69">
        <v>1</v>
      </c>
      <c r="AT69">
        <v>148</v>
      </c>
      <c r="AU69">
        <v>139</v>
      </c>
      <c r="AV69">
        <v>12</v>
      </c>
      <c r="AW69">
        <v>0</v>
      </c>
      <c r="AX69">
        <v>149</v>
      </c>
      <c r="AY69">
        <v>0.92003909199946698</v>
      </c>
      <c r="AZ69">
        <v>0.87352445193929196</v>
      </c>
      <c r="BA69">
        <v>0.96</v>
      </c>
      <c r="BB69">
        <v>744.5</v>
      </c>
      <c r="BC69">
        <v>912.58</v>
      </c>
      <c r="BD69">
        <v>149</v>
      </c>
      <c r="BE69">
        <v>151</v>
      </c>
      <c r="BF69">
        <v>0.94228844953396296</v>
      </c>
      <c r="BG69">
        <v>0.99582843474977401</v>
      </c>
      <c r="BH69">
        <v>0.952975020703418</v>
      </c>
      <c r="BI69">
        <v>0.99839192077140704</v>
      </c>
      <c r="BJ69">
        <v>0.94228844953396296</v>
      </c>
      <c r="BK69">
        <v>0.952975020703418</v>
      </c>
      <c r="BL69">
        <v>1</v>
      </c>
      <c r="BM69">
        <v>1</v>
      </c>
      <c r="BN69">
        <v>3</v>
      </c>
      <c r="BO69" t="s">
        <v>167</v>
      </c>
      <c r="BP69" t="s">
        <v>85</v>
      </c>
      <c r="BQ69" t="s">
        <v>82</v>
      </c>
      <c r="BR69" t="s">
        <v>108</v>
      </c>
      <c r="BS69" t="s">
        <v>86</v>
      </c>
      <c r="BT69">
        <v>0.249</v>
      </c>
      <c r="BU69" t="s">
        <v>130</v>
      </c>
      <c r="BV69" t="s">
        <v>91</v>
      </c>
      <c r="BW69">
        <v>0.99299999999999999</v>
      </c>
      <c r="BX69">
        <v>0.96099999999999997</v>
      </c>
      <c r="BY69">
        <v>0.99299999999999999</v>
      </c>
      <c r="BZ69">
        <v>0.97</v>
      </c>
      <c r="CA69">
        <v>0.97699999999999998</v>
      </c>
      <c r="CB69">
        <v>0.96</v>
      </c>
      <c r="CC69">
        <v>0.92</v>
      </c>
    </row>
    <row r="70" spans="1:81" x14ac:dyDescent="0.2">
      <c r="A70" t="s">
        <v>166</v>
      </c>
      <c r="B70" t="s">
        <v>81</v>
      </c>
      <c r="C70" t="s">
        <v>82</v>
      </c>
      <c r="D70" t="s">
        <v>111</v>
      </c>
      <c r="E70" t="s">
        <v>89</v>
      </c>
      <c r="F70" t="s">
        <v>93</v>
      </c>
      <c r="G70" t="s">
        <v>93</v>
      </c>
      <c r="H70">
        <v>0.25447559709242001</v>
      </c>
      <c r="I70">
        <v>0.90160880149048706</v>
      </c>
      <c r="J70">
        <v>0.85310701559361801</v>
      </c>
      <c r="K70">
        <v>0.94480850571818797</v>
      </c>
      <c r="L70">
        <v>0.90179275823607796</v>
      </c>
      <c r="M70">
        <v>0.82843941917844299</v>
      </c>
      <c r="N70">
        <v>0.96976830017723503</v>
      </c>
      <c r="O70">
        <v>0.96633887697207699</v>
      </c>
      <c r="P70">
        <v>0.94520774047834999</v>
      </c>
      <c r="Q70">
        <v>0.98374522778781703</v>
      </c>
      <c r="R70">
        <v>0.90142491978027905</v>
      </c>
      <c r="S70">
        <v>0.84199492429084999</v>
      </c>
      <c r="T70">
        <v>0.952036165654359</v>
      </c>
      <c r="U70">
        <v>0.966473494557747</v>
      </c>
      <c r="V70">
        <v>0.93706184557135797</v>
      </c>
      <c r="W70">
        <v>0.99054056940359503</v>
      </c>
      <c r="X70">
        <v>0.25447559709242001</v>
      </c>
      <c r="Y70">
        <v>0.23155726091043399</v>
      </c>
      <c r="Z70">
        <v>0.28000554883897999</v>
      </c>
      <c r="AA70">
        <v>0.86801501694028105</v>
      </c>
      <c r="AB70">
        <v>0.80204141994678202</v>
      </c>
      <c r="AC70">
        <v>0.92688504720440001</v>
      </c>
      <c r="AD70">
        <v>0.933330828469213</v>
      </c>
      <c r="AE70">
        <v>0.89932621709082305</v>
      </c>
      <c r="AF70">
        <v>0.96152607055935002</v>
      </c>
      <c r="AG70">
        <v>0.96757823170002899</v>
      </c>
      <c r="AH70">
        <v>0.93403747567283102</v>
      </c>
      <c r="AI70">
        <v>0.99129211665554495</v>
      </c>
      <c r="AJ70">
        <v>300</v>
      </c>
      <c r="AK70">
        <v>148</v>
      </c>
      <c r="AL70">
        <v>152</v>
      </c>
      <c r="AM70">
        <v>134</v>
      </c>
      <c r="AN70">
        <v>1</v>
      </c>
      <c r="AO70">
        <v>3</v>
      </c>
      <c r="AP70">
        <v>4</v>
      </c>
      <c r="AQ70">
        <v>12</v>
      </c>
      <c r="AR70">
        <v>1</v>
      </c>
      <c r="AS70">
        <v>1</v>
      </c>
      <c r="AT70">
        <v>144</v>
      </c>
      <c r="AU70">
        <v>139</v>
      </c>
      <c r="AV70">
        <v>12</v>
      </c>
      <c r="AW70">
        <v>0</v>
      </c>
      <c r="AX70">
        <v>149</v>
      </c>
      <c r="AY70">
        <v>0.92003909199946698</v>
      </c>
      <c r="AZ70">
        <v>0.87333333333333296</v>
      </c>
      <c r="BA70">
        <v>0.95995194233079695</v>
      </c>
      <c r="BB70">
        <v>744.5</v>
      </c>
      <c r="BC70">
        <v>912.58</v>
      </c>
      <c r="BD70">
        <v>142</v>
      </c>
      <c r="BE70">
        <v>158</v>
      </c>
      <c r="BF70">
        <v>0.84011408340618499</v>
      </c>
      <c r="BG70">
        <v>0.94504345245139199</v>
      </c>
      <c r="BH70">
        <v>0.92769749217556396</v>
      </c>
      <c r="BI70">
        <v>0.98964646326777395</v>
      </c>
      <c r="BJ70">
        <v>0.82843941917844299</v>
      </c>
      <c r="BK70">
        <v>0.92769749217556396</v>
      </c>
      <c r="BL70">
        <v>0.96976830017723503</v>
      </c>
      <c r="BM70">
        <v>0.98964646326777395</v>
      </c>
      <c r="BN70">
        <v>3</v>
      </c>
      <c r="BO70" t="s">
        <v>167</v>
      </c>
      <c r="BP70" t="s">
        <v>85</v>
      </c>
      <c r="BQ70" t="s">
        <v>82</v>
      </c>
      <c r="BR70" t="s">
        <v>111</v>
      </c>
      <c r="BS70" t="s">
        <v>86</v>
      </c>
      <c r="BT70">
        <v>0.254</v>
      </c>
      <c r="BU70" t="s">
        <v>198</v>
      </c>
      <c r="BV70" t="s">
        <v>199</v>
      </c>
      <c r="BW70">
        <v>0.96799999999999997</v>
      </c>
      <c r="BX70">
        <v>0.90100000000000002</v>
      </c>
      <c r="BY70">
        <v>0.96599999999999997</v>
      </c>
      <c r="BZ70">
        <v>0.90200000000000002</v>
      </c>
      <c r="CA70">
        <v>0.93300000000000005</v>
      </c>
      <c r="CB70">
        <v>0.86799999999999999</v>
      </c>
      <c r="CC70">
        <v>0.92</v>
      </c>
    </row>
    <row r="71" spans="1:81" x14ac:dyDescent="0.2">
      <c r="A71" t="s">
        <v>166</v>
      </c>
      <c r="B71" t="s">
        <v>81</v>
      </c>
      <c r="C71" t="s">
        <v>82</v>
      </c>
      <c r="D71" t="s">
        <v>114</v>
      </c>
      <c r="E71" t="s">
        <v>89</v>
      </c>
      <c r="F71" t="s">
        <v>93</v>
      </c>
      <c r="G71" t="s">
        <v>93</v>
      </c>
      <c r="H71">
        <v>0.169207338179301</v>
      </c>
      <c r="I71">
        <v>0.78273653946680599</v>
      </c>
      <c r="J71">
        <v>0.72074538255544895</v>
      </c>
      <c r="K71">
        <v>0.838951482873733</v>
      </c>
      <c r="L71">
        <v>0.98019801980197996</v>
      </c>
      <c r="M71">
        <v>0.94897959183673497</v>
      </c>
      <c r="N71">
        <v>1</v>
      </c>
      <c r="O71">
        <v>0.89320711952536502</v>
      </c>
      <c r="P71">
        <v>0.86627088109428896</v>
      </c>
      <c r="Q71">
        <v>0.91750652345833295</v>
      </c>
      <c r="R71">
        <v>0.65149290259422399</v>
      </c>
      <c r="S71">
        <v>0.57163238808127903</v>
      </c>
      <c r="T71">
        <v>0.73040907525435295</v>
      </c>
      <c r="U71">
        <v>0.99550503361937703</v>
      </c>
      <c r="V71">
        <v>0.98840795719095498</v>
      </c>
      <c r="W71">
        <v>1</v>
      </c>
      <c r="X71">
        <v>0.169207338179301</v>
      </c>
      <c r="Y71">
        <v>0.15002867283520099</v>
      </c>
      <c r="Z71">
        <v>0.187678273328338</v>
      </c>
      <c r="AA71">
        <v>0.75172556336946805</v>
      </c>
      <c r="AB71">
        <v>0.68989426379566399</v>
      </c>
      <c r="AC71">
        <v>0.810189107126425</v>
      </c>
      <c r="AD71">
        <v>0.78814108318062903</v>
      </c>
      <c r="AE71">
        <v>0.72704154683046296</v>
      </c>
      <c r="AF71">
        <v>0.84328511005195095</v>
      </c>
      <c r="AG71">
        <v>0.99732657243265999</v>
      </c>
      <c r="AH71">
        <v>0.99271281725979899</v>
      </c>
      <c r="AI71">
        <v>1</v>
      </c>
      <c r="AJ71">
        <v>300</v>
      </c>
      <c r="AK71">
        <v>148</v>
      </c>
      <c r="AL71">
        <v>152</v>
      </c>
      <c r="AM71">
        <v>99</v>
      </c>
      <c r="AN71">
        <v>0</v>
      </c>
      <c r="AO71">
        <v>2</v>
      </c>
      <c r="AP71">
        <v>0</v>
      </c>
      <c r="AQ71">
        <v>47</v>
      </c>
      <c r="AR71">
        <v>2</v>
      </c>
      <c r="AS71">
        <v>2</v>
      </c>
      <c r="AT71">
        <v>148</v>
      </c>
      <c r="AU71">
        <v>139</v>
      </c>
      <c r="AV71">
        <v>12</v>
      </c>
      <c r="AW71">
        <v>0</v>
      </c>
      <c r="AX71">
        <v>149</v>
      </c>
      <c r="AY71">
        <v>0.92003909199946698</v>
      </c>
      <c r="AZ71">
        <v>0.87343458566480103</v>
      </c>
      <c r="BA71">
        <v>0.95998755168274597</v>
      </c>
      <c r="BB71">
        <v>744.5</v>
      </c>
      <c r="BC71">
        <v>912.58</v>
      </c>
      <c r="BD71">
        <v>101</v>
      </c>
      <c r="BE71">
        <v>199</v>
      </c>
      <c r="BF71">
        <v>0.93029491020507604</v>
      </c>
      <c r="BG71">
        <v>0.99759282709074204</v>
      </c>
      <c r="BH71">
        <v>0.84322010466236297</v>
      </c>
      <c r="BI71">
        <v>0.93347996856583304</v>
      </c>
      <c r="BJ71">
        <v>0.93029491020507604</v>
      </c>
      <c r="BK71">
        <v>0.84322010466236297</v>
      </c>
      <c r="BL71">
        <v>1</v>
      </c>
      <c r="BM71">
        <v>0.93347996856583304</v>
      </c>
      <c r="BN71">
        <v>3</v>
      </c>
      <c r="BO71" t="s">
        <v>167</v>
      </c>
      <c r="BP71" t="s">
        <v>85</v>
      </c>
      <c r="BQ71" t="s">
        <v>82</v>
      </c>
      <c r="BR71" t="s">
        <v>114</v>
      </c>
      <c r="BS71" t="s">
        <v>86</v>
      </c>
      <c r="BT71">
        <v>0.16900000000000001</v>
      </c>
      <c r="BU71" t="s">
        <v>200</v>
      </c>
      <c r="BV71" t="s">
        <v>201</v>
      </c>
      <c r="BW71">
        <v>0.997</v>
      </c>
      <c r="BX71">
        <v>0.65100000000000002</v>
      </c>
      <c r="BY71">
        <v>0.996</v>
      </c>
      <c r="BZ71">
        <v>0.78300000000000003</v>
      </c>
      <c r="CA71">
        <v>0.78800000000000003</v>
      </c>
      <c r="CB71">
        <v>0.752</v>
      </c>
      <c r="CC71">
        <v>0.92</v>
      </c>
    </row>
    <row r="72" spans="1:81" x14ac:dyDescent="0.2">
      <c r="A72" t="s">
        <v>166</v>
      </c>
      <c r="B72" t="s">
        <v>81</v>
      </c>
      <c r="C72" t="s">
        <v>82</v>
      </c>
      <c r="D72" t="s">
        <v>117</v>
      </c>
      <c r="E72" t="s">
        <v>89</v>
      </c>
      <c r="F72" t="s">
        <v>93</v>
      </c>
      <c r="G72" t="s">
        <v>93</v>
      </c>
      <c r="H72">
        <v>0.25748564661054002</v>
      </c>
      <c r="I72">
        <v>0.96742875110507598</v>
      </c>
      <c r="J72">
        <v>0.92952650497546996</v>
      </c>
      <c r="K72">
        <v>0.99601593625497997</v>
      </c>
      <c r="L72">
        <v>0.95942722111969603</v>
      </c>
      <c r="M72">
        <v>0.90139406294795399</v>
      </c>
      <c r="N72">
        <v>1</v>
      </c>
      <c r="O72">
        <v>0.99166666666666703</v>
      </c>
      <c r="P72">
        <v>0.97296683046682997</v>
      </c>
      <c r="Q72">
        <v>1</v>
      </c>
      <c r="R72">
        <v>0.97556486749631699</v>
      </c>
      <c r="S72">
        <v>0.92493320052939498</v>
      </c>
      <c r="T72">
        <v>1</v>
      </c>
      <c r="U72">
        <v>0.98601060935005003</v>
      </c>
      <c r="V72">
        <v>0.96435726510281095</v>
      </c>
      <c r="W72">
        <v>1</v>
      </c>
      <c r="X72">
        <v>0.25748564661054002</v>
      </c>
      <c r="Y72">
        <v>0.25129802699896198</v>
      </c>
      <c r="Z72">
        <v>0.271533215458449</v>
      </c>
      <c r="AA72">
        <v>0.95632032221104502</v>
      </c>
      <c r="AB72">
        <v>0.90528315208869004</v>
      </c>
      <c r="AC72">
        <v>0.99469985728240595</v>
      </c>
      <c r="AD72">
        <v>0.98070297537989504</v>
      </c>
      <c r="AE72">
        <v>0.95150073611141694</v>
      </c>
      <c r="AF72">
        <v>0.99865922035325705</v>
      </c>
      <c r="AG72">
        <v>0.98589549262999499</v>
      </c>
      <c r="AH72">
        <v>0.96163069676544999</v>
      </c>
      <c r="AI72">
        <v>1</v>
      </c>
      <c r="AJ72">
        <v>239</v>
      </c>
      <c r="AK72">
        <v>117</v>
      </c>
      <c r="AL72">
        <v>122</v>
      </c>
      <c r="AM72">
        <v>116</v>
      </c>
      <c r="AN72">
        <v>0</v>
      </c>
      <c r="AO72">
        <v>2</v>
      </c>
      <c r="AP72">
        <v>1</v>
      </c>
      <c r="AQ72">
        <v>0</v>
      </c>
      <c r="AR72">
        <v>1</v>
      </c>
      <c r="AS72">
        <v>0</v>
      </c>
      <c r="AT72">
        <v>119</v>
      </c>
      <c r="AU72">
        <v>114</v>
      </c>
      <c r="AV72">
        <v>4</v>
      </c>
      <c r="AW72">
        <v>0</v>
      </c>
      <c r="AX72">
        <v>121</v>
      </c>
      <c r="AY72">
        <v>0.96650784753363195</v>
      </c>
      <c r="AZ72">
        <v>0.93239038189533197</v>
      </c>
      <c r="BA72">
        <v>0.991631359641444</v>
      </c>
      <c r="BB72">
        <v>4577</v>
      </c>
      <c r="BC72">
        <v>4849.5690376569</v>
      </c>
      <c r="BD72">
        <v>119</v>
      </c>
      <c r="BE72">
        <v>120</v>
      </c>
      <c r="BF72">
        <v>0.90466907026235299</v>
      </c>
      <c r="BG72">
        <v>0.986218604809877</v>
      </c>
      <c r="BH72">
        <v>0.95444448676640703</v>
      </c>
      <c r="BI72">
        <v>0.999789040521878</v>
      </c>
      <c r="BJ72">
        <v>0.90139406294795399</v>
      </c>
      <c r="BK72">
        <v>0.95444448676640703</v>
      </c>
      <c r="BL72">
        <v>1</v>
      </c>
      <c r="BM72">
        <v>1</v>
      </c>
      <c r="BN72">
        <v>3</v>
      </c>
      <c r="BO72" t="s">
        <v>167</v>
      </c>
      <c r="BP72" t="s">
        <v>85</v>
      </c>
      <c r="BQ72" t="s">
        <v>82</v>
      </c>
      <c r="BR72" t="s">
        <v>117</v>
      </c>
      <c r="BS72" t="s">
        <v>100</v>
      </c>
      <c r="BT72">
        <v>0.25700000000000001</v>
      </c>
      <c r="BU72" t="s">
        <v>202</v>
      </c>
      <c r="BV72" t="s">
        <v>196</v>
      </c>
      <c r="BW72">
        <v>0.98599999999999999</v>
      </c>
      <c r="BX72">
        <v>0.97599999999999998</v>
      </c>
      <c r="BY72">
        <v>0.98599999999999999</v>
      </c>
      <c r="BZ72">
        <v>0.96699999999999997</v>
      </c>
      <c r="CA72">
        <v>0.98099999999999998</v>
      </c>
      <c r="CB72">
        <v>0.95599999999999996</v>
      </c>
      <c r="CC72">
        <v>0.96699999999999997</v>
      </c>
    </row>
    <row r="73" spans="1:81" x14ac:dyDescent="0.2">
      <c r="A73" t="s">
        <v>166</v>
      </c>
      <c r="B73" t="s">
        <v>81</v>
      </c>
      <c r="C73" t="s">
        <v>82</v>
      </c>
      <c r="D73" t="s">
        <v>119</v>
      </c>
      <c r="E73" t="s">
        <v>89</v>
      </c>
      <c r="F73" t="s">
        <v>93</v>
      </c>
      <c r="G73" t="s">
        <v>93</v>
      </c>
      <c r="H73">
        <v>0.242779449812556</v>
      </c>
      <c r="I73">
        <v>0.97893793169380805</v>
      </c>
      <c r="J73">
        <v>0.94837323376603</v>
      </c>
      <c r="K73">
        <v>1</v>
      </c>
      <c r="L73">
        <v>1</v>
      </c>
      <c r="M73">
        <v>1</v>
      </c>
      <c r="N73">
        <v>1</v>
      </c>
      <c r="O73">
        <v>0.98620361240566501</v>
      </c>
      <c r="P73">
        <v>0.965259412478917</v>
      </c>
      <c r="Q73">
        <v>1</v>
      </c>
      <c r="R73">
        <v>0.95874478357396697</v>
      </c>
      <c r="S73">
        <v>0.90181541994416103</v>
      </c>
      <c r="T73">
        <v>1</v>
      </c>
      <c r="U73">
        <v>1</v>
      </c>
      <c r="V73">
        <v>1</v>
      </c>
      <c r="W73">
        <v>1</v>
      </c>
      <c r="X73">
        <v>0.242779449812556</v>
      </c>
      <c r="Y73">
        <v>0.23350701623797299</v>
      </c>
      <c r="Z73">
        <v>0.24931930237692301</v>
      </c>
      <c r="AA73">
        <v>0.97237727705645904</v>
      </c>
      <c r="AB73">
        <v>0.93311563305848499</v>
      </c>
      <c r="AC73">
        <v>1</v>
      </c>
      <c r="AD73">
        <v>0.97893793169380805</v>
      </c>
      <c r="AE73">
        <v>0.94837323376603</v>
      </c>
      <c r="AF73">
        <v>1</v>
      </c>
      <c r="AG73">
        <v>1</v>
      </c>
      <c r="AH73">
        <v>1</v>
      </c>
      <c r="AI73">
        <v>1</v>
      </c>
      <c r="AJ73">
        <v>239</v>
      </c>
      <c r="AK73">
        <v>117</v>
      </c>
      <c r="AL73">
        <v>122</v>
      </c>
      <c r="AM73">
        <v>114</v>
      </c>
      <c r="AN73">
        <v>0</v>
      </c>
      <c r="AO73">
        <v>0</v>
      </c>
      <c r="AP73">
        <v>0</v>
      </c>
      <c r="AQ73">
        <v>2</v>
      </c>
      <c r="AR73">
        <v>1</v>
      </c>
      <c r="AS73">
        <v>2</v>
      </c>
      <c r="AT73">
        <v>120</v>
      </c>
      <c r="AU73">
        <v>114</v>
      </c>
      <c r="AV73">
        <v>4</v>
      </c>
      <c r="AW73">
        <v>0</v>
      </c>
      <c r="AX73">
        <v>121</v>
      </c>
      <c r="AY73">
        <v>0.96650784753363195</v>
      </c>
      <c r="AZ73">
        <v>0.93250207810146402</v>
      </c>
      <c r="BA73">
        <v>0.991631359641444</v>
      </c>
      <c r="BB73">
        <v>4577</v>
      </c>
      <c r="BC73">
        <v>4849.5690376569</v>
      </c>
      <c r="BD73">
        <v>114</v>
      </c>
      <c r="BE73">
        <v>125</v>
      </c>
      <c r="BF73">
        <v>0.96815934591652597</v>
      </c>
      <c r="BG73">
        <v>1</v>
      </c>
      <c r="BH73">
        <v>0.94339788038024497</v>
      </c>
      <c r="BI73">
        <v>0.99805641819763102</v>
      </c>
      <c r="BJ73">
        <v>0.96815934591652597</v>
      </c>
      <c r="BK73">
        <v>0.94339788038024497</v>
      </c>
      <c r="BL73">
        <v>1</v>
      </c>
      <c r="BM73">
        <v>1</v>
      </c>
      <c r="BN73">
        <v>3</v>
      </c>
      <c r="BO73" t="s">
        <v>167</v>
      </c>
      <c r="BP73" t="s">
        <v>85</v>
      </c>
      <c r="BQ73" t="s">
        <v>82</v>
      </c>
      <c r="BR73" t="s">
        <v>119</v>
      </c>
      <c r="BS73" t="s">
        <v>100</v>
      </c>
      <c r="BT73">
        <v>0.24299999999999999</v>
      </c>
      <c r="BU73" t="s">
        <v>203</v>
      </c>
      <c r="BV73" t="s">
        <v>194</v>
      </c>
      <c r="BW73">
        <v>1</v>
      </c>
      <c r="BX73">
        <v>0.95899999999999996</v>
      </c>
      <c r="BY73">
        <v>1</v>
      </c>
      <c r="BZ73">
        <v>0.97899999999999998</v>
      </c>
      <c r="CA73">
        <v>0.97899999999999998</v>
      </c>
      <c r="CB73">
        <v>0.97199999999999998</v>
      </c>
      <c r="CC73">
        <v>0.96699999999999997</v>
      </c>
    </row>
    <row r="74" spans="1:81" x14ac:dyDescent="0.2">
      <c r="A74" t="s">
        <v>166</v>
      </c>
      <c r="B74" t="s">
        <v>81</v>
      </c>
      <c r="C74" t="s">
        <v>82</v>
      </c>
      <c r="D74" t="s">
        <v>120</v>
      </c>
      <c r="E74" t="s">
        <v>89</v>
      </c>
      <c r="F74" t="s">
        <v>93</v>
      </c>
      <c r="G74" t="s">
        <v>93</v>
      </c>
      <c r="H74">
        <v>0.26292142609899599</v>
      </c>
      <c r="I74">
        <v>0.98388024560887199</v>
      </c>
      <c r="J74">
        <v>0.96009461033088295</v>
      </c>
      <c r="K74">
        <v>1</v>
      </c>
      <c r="L74">
        <v>0.96827193975618098</v>
      </c>
      <c r="M74">
        <v>0.923251884140875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0.98880901965154699</v>
      </c>
      <c r="V74">
        <v>0.97191181153955197</v>
      </c>
      <c r="W74">
        <v>1</v>
      </c>
      <c r="X74">
        <v>0.26292142609899599</v>
      </c>
      <c r="Y74">
        <v>0.24792489911978099</v>
      </c>
      <c r="Z74">
        <v>0.28238180384023998</v>
      </c>
      <c r="AA74">
        <v>0.97848660057581405</v>
      </c>
      <c r="AB74">
        <v>0.947523760432183</v>
      </c>
      <c r="AC74">
        <v>1</v>
      </c>
      <c r="AD74">
        <v>0.99418971230796005</v>
      </c>
      <c r="AE74">
        <v>0.984616121200378</v>
      </c>
      <c r="AF74">
        <v>1</v>
      </c>
      <c r="AG74">
        <v>0.98844655346412802</v>
      </c>
      <c r="AH74">
        <v>0.96969839856484896</v>
      </c>
      <c r="AI74">
        <v>1</v>
      </c>
      <c r="AJ74">
        <v>300</v>
      </c>
      <c r="AK74">
        <v>148</v>
      </c>
      <c r="AL74">
        <v>152</v>
      </c>
      <c r="AM74">
        <v>146</v>
      </c>
      <c r="AN74">
        <v>2</v>
      </c>
      <c r="AO74">
        <v>2</v>
      </c>
      <c r="AP74">
        <v>1</v>
      </c>
      <c r="AQ74">
        <v>0</v>
      </c>
      <c r="AR74">
        <v>0</v>
      </c>
      <c r="AS74">
        <v>2</v>
      </c>
      <c r="AT74">
        <v>147</v>
      </c>
      <c r="AU74">
        <v>139</v>
      </c>
      <c r="AV74">
        <v>12</v>
      </c>
      <c r="AW74">
        <v>0</v>
      </c>
      <c r="AX74">
        <v>149</v>
      </c>
      <c r="AY74">
        <v>0.92003909199946698</v>
      </c>
      <c r="AZ74">
        <v>0.87333333333333296</v>
      </c>
      <c r="BA74">
        <v>0.96</v>
      </c>
      <c r="BB74">
        <v>744.5</v>
      </c>
      <c r="BC74">
        <v>912.58</v>
      </c>
      <c r="BD74">
        <v>151</v>
      </c>
      <c r="BE74">
        <v>149</v>
      </c>
      <c r="BF74">
        <v>0.924420255919572</v>
      </c>
      <c r="BG74">
        <v>0.98916264640795404</v>
      </c>
      <c r="BH74">
        <v>0.97554637509441</v>
      </c>
      <c r="BI74">
        <v>1</v>
      </c>
      <c r="BJ74">
        <v>0.923251884140875</v>
      </c>
      <c r="BK74">
        <v>0.97554637509441</v>
      </c>
      <c r="BL74">
        <v>1</v>
      </c>
      <c r="BM74">
        <v>1</v>
      </c>
      <c r="BN74">
        <v>3</v>
      </c>
      <c r="BO74" t="s">
        <v>167</v>
      </c>
      <c r="BP74" t="s">
        <v>85</v>
      </c>
      <c r="BQ74" t="s">
        <v>82</v>
      </c>
      <c r="BR74" t="s">
        <v>120</v>
      </c>
      <c r="BS74" t="s">
        <v>86</v>
      </c>
      <c r="BT74">
        <v>0.26300000000000001</v>
      </c>
      <c r="BU74" t="s">
        <v>204</v>
      </c>
      <c r="BV74" t="s">
        <v>88</v>
      </c>
      <c r="BW74">
        <v>0.98799999999999999</v>
      </c>
      <c r="BX74">
        <v>1</v>
      </c>
      <c r="BY74">
        <v>0.98899999999999999</v>
      </c>
      <c r="BZ74">
        <v>0.98399999999999999</v>
      </c>
      <c r="CA74">
        <v>0.99399999999999999</v>
      </c>
      <c r="CB74">
        <v>0.97799999999999998</v>
      </c>
      <c r="CC74">
        <v>0.92</v>
      </c>
    </row>
    <row r="75" spans="1:81" x14ac:dyDescent="0.2">
      <c r="A75" t="s">
        <v>166</v>
      </c>
      <c r="B75" t="s">
        <v>81</v>
      </c>
      <c r="C75" t="s">
        <v>82</v>
      </c>
      <c r="D75" t="s">
        <v>123</v>
      </c>
      <c r="E75" t="s">
        <v>89</v>
      </c>
      <c r="F75" t="s">
        <v>93</v>
      </c>
      <c r="G75" t="s">
        <v>93</v>
      </c>
      <c r="H75">
        <v>0.239501557632399</v>
      </c>
      <c r="I75">
        <v>0.96948297604035305</v>
      </c>
      <c r="J75">
        <v>0.94768138162408799</v>
      </c>
      <c r="K75">
        <v>0.98726762418371505</v>
      </c>
      <c r="L75">
        <v>1</v>
      </c>
      <c r="M75">
        <v>1</v>
      </c>
      <c r="N75">
        <v>1</v>
      </c>
      <c r="O75">
        <v>0.98017368507291502</v>
      </c>
      <c r="P75">
        <v>0.96714982423009199</v>
      </c>
      <c r="Q75">
        <v>0.991509531867802</v>
      </c>
      <c r="R75">
        <v>0.940773372491434</v>
      </c>
      <c r="S75">
        <v>0.90056506187665697</v>
      </c>
      <c r="T75">
        <v>0.974855398881879</v>
      </c>
      <c r="U75">
        <v>1</v>
      </c>
      <c r="V75">
        <v>1</v>
      </c>
      <c r="W75">
        <v>1</v>
      </c>
      <c r="X75">
        <v>0.239501557632399</v>
      </c>
      <c r="Y75">
        <v>0.222525039419082</v>
      </c>
      <c r="Z75">
        <v>0.25875596685992303</v>
      </c>
      <c r="AA75">
        <v>0.96027147376843602</v>
      </c>
      <c r="AB75">
        <v>0.93322189450559301</v>
      </c>
      <c r="AC75">
        <v>0.98311851372441394</v>
      </c>
      <c r="AD75">
        <v>0.96948297604035305</v>
      </c>
      <c r="AE75">
        <v>0.94768138162408799</v>
      </c>
      <c r="AF75">
        <v>0.98726762418371505</v>
      </c>
      <c r="AG75">
        <v>1</v>
      </c>
      <c r="AH75">
        <v>1</v>
      </c>
      <c r="AI75">
        <v>1</v>
      </c>
      <c r="AJ75">
        <v>300</v>
      </c>
      <c r="AK75">
        <v>148</v>
      </c>
      <c r="AL75">
        <v>152</v>
      </c>
      <c r="AM75">
        <v>137</v>
      </c>
      <c r="AN75">
        <v>2</v>
      </c>
      <c r="AO75">
        <v>0</v>
      </c>
      <c r="AP75">
        <v>0</v>
      </c>
      <c r="AQ75">
        <v>9</v>
      </c>
      <c r="AR75">
        <v>0</v>
      </c>
      <c r="AS75">
        <v>4</v>
      </c>
      <c r="AT75">
        <v>148</v>
      </c>
      <c r="AU75">
        <v>139</v>
      </c>
      <c r="AV75">
        <v>12</v>
      </c>
      <c r="AW75">
        <v>0</v>
      </c>
      <c r="AX75">
        <v>149</v>
      </c>
      <c r="AY75">
        <v>0.92003909199946698</v>
      </c>
      <c r="AZ75">
        <v>0.87343458566480103</v>
      </c>
      <c r="BA75">
        <v>0.95998755168274597</v>
      </c>
      <c r="BB75">
        <v>744.5</v>
      </c>
      <c r="BC75">
        <v>912.58</v>
      </c>
      <c r="BD75">
        <v>139</v>
      </c>
      <c r="BE75">
        <v>161</v>
      </c>
      <c r="BF75">
        <v>0.97381035556579398</v>
      </c>
      <c r="BG75">
        <v>1</v>
      </c>
      <c r="BH75">
        <v>0.94651264574025895</v>
      </c>
      <c r="BI75">
        <v>0.99614070738109595</v>
      </c>
      <c r="BJ75">
        <v>0.97381035556579398</v>
      </c>
      <c r="BK75">
        <v>0.94651264574025895</v>
      </c>
      <c r="BL75">
        <v>1</v>
      </c>
      <c r="BM75">
        <v>0.99614070738109595</v>
      </c>
      <c r="BN75">
        <v>3</v>
      </c>
      <c r="BO75" t="s">
        <v>167</v>
      </c>
      <c r="BP75" t="s">
        <v>85</v>
      </c>
      <c r="BQ75" t="s">
        <v>82</v>
      </c>
      <c r="BR75" t="s">
        <v>123</v>
      </c>
      <c r="BS75" t="s">
        <v>86</v>
      </c>
      <c r="BT75">
        <v>0.24</v>
      </c>
      <c r="BU75" t="s">
        <v>203</v>
      </c>
      <c r="BV75" t="s">
        <v>205</v>
      </c>
      <c r="BW75">
        <v>1</v>
      </c>
      <c r="BX75">
        <v>0.94099999999999995</v>
      </c>
      <c r="BY75">
        <v>1</v>
      </c>
      <c r="BZ75">
        <v>0.96899999999999997</v>
      </c>
      <c r="CA75">
        <v>0.96899999999999997</v>
      </c>
      <c r="CB75">
        <v>0.96</v>
      </c>
      <c r="CC75">
        <v>0.92</v>
      </c>
    </row>
    <row r="76" spans="1:81" x14ac:dyDescent="0.2">
      <c r="A76" t="s">
        <v>158</v>
      </c>
      <c r="B76" t="s">
        <v>81</v>
      </c>
      <c r="C76" t="s">
        <v>206</v>
      </c>
      <c r="D76" t="s">
        <v>83</v>
      </c>
      <c r="E76" t="s">
        <v>89</v>
      </c>
      <c r="F76">
        <v>219</v>
      </c>
      <c r="G76">
        <v>1000</v>
      </c>
      <c r="H76">
        <v>0.219</v>
      </c>
      <c r="I76">
        <v>0.95128894641508899</v>
      </c>
      <c r="J76">
        <v>0.88434079688778999</v>
      </c>
      <c r="K76">
        <v>0.99598853868194803</v>
      </c>
      <c r="L76">
        <v>0.94062750082380098</v>
      </c>
      <c r="M76">
        <v>0.82248270018359004</v>
      </c>
      <c r="N76">
        <v>1</v>
      </c>
      <c r="O76">
        <v>0.98963668373879599</v>
      </c>
      <c r="P76">
        <v>0.96569384961808502</v>
      </c>
      <c r="Q76">
        <v>1</v>
      </c>
      <c r="R76">
        <v>0.96219484484732998</v>
      </c>
      <c r="S76">
        <v>0.88491148451128498</v>
      </c>
      <c r="T76">
        <v>1</v>
      </c>
      <c r="U76">
        <v>0.98345536165571001</v>
      </c>
      <c r="V76">
        <v>0.95220234974317597</v>
      </c>
      <c r="W76">
        <v>1</v>
      </c>
      <c r="X76">
        <v>0.219</v>
      </c>
      <c r="Y76">
        <v>0.219</v>
      </c>
      <c r="Z76">
        <v>0.219</v>
      </c>
      <c r="AA76">
        <v>0.93792564643152998</v>
      </c>
      <c r="AB76">
        <v>0.85522591447918095</v>
      </c>
      <c r="AC76">
        <v>0.99488255096794898</v>
      </c>
      <c r="AD76">
        <v>0.97261084216450899</v>
      </c>
      <c r="AE76">
        <v>0.92859791902404298</v>
      </c>
      <c r="AF76">
        <v>0.99887189080079597</v>
      </c>
      <c r="AG76">
        <v>0.98325481891281996</v>
      </c>
      <c r="AH76">
        <v>0.94531946484550999</v>
      </c>
      <c r="AI76">
        <v>1</v>
      </c>
      <c r="AJ76">
        <v>200</v>
      </c>
      <c r="AK76">
        <v>99</v>
      </c>
      <c r="AL76">
        <v>101</v>
      </c>
      <c r="AM76">
        <v>95</v>
      </c>
      <c r="AN76">
        <v>3</v>
      </c>
      <c r="AO76">
        <v>2</v>
      </c>
      <c r="AP76">
        <v>1</v>
      </c>
      <c r="AQ76">
        <v>0</v>
      </c>
      <c r="AR76">
        <v>1</v>
      </c>
      <c r="AS76">
        <v>3</v>
      </c>
      <c r="AT76">
        <v>95</v>
      </c>
      <c r="AU76">
        <v>97</v>
      </c>
      <c r="AV76">
        <v>0</v>
      </c>
      <c r="AW76">
        <v>3</v>
      </c>
      <c r="AX76">
        <v>100</v>
      </c>
      <c r="AY76">
        <v>0.97</v>
      </c>
      <c r="AZ76">
        <v>0.92994395516413098</v>
      </c>
      <c r="BA76">
        <v>1</v>
      </c>
      <c r="BB76">
        <v>698</v>
      </c>
      <c r="BC76">
        <v>1044.2850000000001</v>
      </c>
      <c r="BD76">
        <v>101</v>
      </c>
      <c r="BE76">
        <v>99</v>
      </c>
      <c r="BF76">
        <v>0.87517356335566698</v>
      </c>
      <c r="BG76">
        <v>0.97788942759058195</v>
      </c>
      <c r="BH76">
        <v>0.94500317680057</v>
      </c>
      <c r="BI76">
        <v>0.99974429726333403</v>
      </c>
      <c r="BJ76">
        <v>0.82248270018359004</v>
      </c>
      <c r="BK76">
        <v>0.94500317680057</v>
      </c>
      <c r="BL76">
        <v>1</v>
      </c>
      <c r="BM76">
        <v>1</v>
      </c>
      <c r="BN76">
        <v>2</v>
      </c>
      <c r="BO76" t="s">
        <v>159</v>
      </c>
      <c r="BP76" t="s">
        <v>85</v>
      </c>
      <c r="BQ76" t="s">
        <v>206</v>
      </c>
      <c r="BR76" t="s">
        <v>83</v>
      </c>
      <c r="BS76" t="s">
        <v>86</v>
      </c>
      <c r="BT76">
        <v>0.219</v>
      </c>
      <c r="BU76" t="s">
        <v>207</v>
      </c>
      <c r="BV76" t="s">
        <v>186</v>
      </c>
      <c r="BW76">
        <v>0.98299999999999998</v>
      </c>
      <c r="BX76">
        <v>0.96199999999999997</v>
      </c>
      <c r="BY76">
        <v>0.98299999999999998</v>
      </c>
      <c r="BZ76">
        <v>0.95099999999999996</v>
      </c>
      <c r="CA76">
        <v>0.97299999999999998</v>
      </c>
      <c r="CB76">
        <v>0.93799999999999994</v>
      </c>
      <c r="CC76">
        <v>0.97</v>
      </c>
    </row>
    <row r="77" spans="1:81" x14ac:dyDescent="0.2">
      <c r="A77" t="s">
        <v>158</v>
      </c>
      <c r="B77" t="s">
        <v>81</v>
      </c>
      <c r="C77" t="s">
        <v>206</v>
      </c>
      <c r="D77" t="s">
        <v>89</v>
      </c>
      <c r="E77" t="s">
        <v>89</v>
      </c>
      <c r="F77">
        <v>186</v>
      </c>
      <c r="G77">
        <v>1000</v>
      </c>
      <c r="H77">
        <v>0.186</v>
      </c>
      <c r="I77">
        <v>0.89409502605879698</v>
      </c>
      <c r="J77">
        <v>0.81795670901789497</v>
      </c>
      <c r="K77">
        <v>0.963465769739839</v>
      </c>
      <c r="L77">
        <v>0.95</v>
      </c>
      <c r="M77">
        <v>0.90322580645161299</v>
      </c>
      <c r="N77">
        <v>0.98947368421052595</v>
      </c>
      <c r="O77">
        <v>0.96</v>
      </c>
      <c r="P77">
        <v>0.91752577319587603</v>
      </c>
      <c r="Q77">
        <v>0.99065420560747697</v>
      </c>
      <c r="R77">
        <v>0.844404090604989</v>
      </c>
      <c r="S77">
        <v>0.724506558514319</v>
      </c>
      <c r="T77">
        <v>0.95901309164148996</v>
      </c>
      <c r="U77">
        <v>0.98823886486076296</v>
      </c>
      <c r="V77">
        <v>0.97754407238130803</v>
      </c>
      <c r="W77">
        <v>0.99750250401218998</v>
      </c>
      <c r="X77">
        <v>0.186</v>
      </c>
      <c r="Y77">
        <v>0.186</v>
      </c>
      <c r="Z77">
        <v>0.186</v>
      </c>
      <c r="AA77">
        <v>0.87046257212693201</v>
      </c>
      <c r="AB77">
        <v>0.78032448036536195</v>
      </c>
      <c r="AC77">
        <v>0.95512788977252205</v>
      </c>
      <c r="AD77">
        <v>0.91140162529554702</v>
      </c>
      <c r="AE77">
        <v>0.83622454800928203</v>
      </c>
      <c r="AF77">
        <v>0.97537099700237095</v>
      </c>
      <c r="AG77">
        <v>0.989946964980708</v>
      </c>
      <c r="AH77">
        <v>0.97934004220592696</v>
      </c>
      <c r="AI77">
        <v>0.99789587347223896</v>
      </c>
      <c r="AJ77">
        <v>200</v>
      </c>
      <c r="AK77">
        <v>99</v>
      </c>
      <c r="AL77">
        <v>101</v>
      </c>
      <c r="AM77">
        <v>95</v>
      </c>
      <c r="AN77">
        <v>0</v>
      </c>
      <c r="AO77">
        <v>5</v>
      </c>
      <c r="AP77">
        <v>0</v>
      </c>
      <c r="AQ77">
        <v>0</v>
      </c>
      <c r="AR77">
        <v>4</v>
      </c>
      <c r="AS77">
        <v>0</v>
      </c>
      <c r="AT77">
        <v>96</v>
      </c>
      <c r="AU77">
        <v>97</v>
      </c>
      <c r="AV77">
        <v>0</v>
      </c>
      <c r="AW77">
        <v>3</v>
      </c>
      <c r="AX77">
        <v>100</v>
      </c>
      <c r="AY77">
        <v>0.97</v>
      </c>
      <c r="AZ77">
        <v>0.93</v>
      </c>
      <c r="BA77">
        <v>1</v>
      </c>
      <c r="BB77">
        <v>698</v>
      </c>
      <c r="BC77">
        <v>1044.2850000000001</v>
      </c>
      <c r="BD77">
        <v>100</v>
      </c>
      <c r="BE77">
        <v>100</v>
      </c>
      <c r="BF77">
        <v>0.88716508889453705</v>
      </c>
      <c r="BG77">
        <v>0.98356812081794798</v>
      </c>
      <c r="BH77">
        <v>0.90074284328734</v>
      </c>
      <c r="BI77">
        <v>0.98899550601381203</v>
      </c>
      <c r="BJ77">
        <v>0.88716508889453705</v>
      </c>
      <c r="BK77">
        <v>0.90074284328734</v>
      </c>
      <c r="BL77">
        <v>0.98947368421052595</v>
      </c>
      <c r="BM77">
        <v>0.99065420560747697</v>
      </c>
      <c r="BN77">
        <v>2</v>
      </c>
      <c r="BO77" t="s">
        <v>159</v>
      </c>
      <c r="BP77" t="s">
        <v>85</v>
      </c>
      <c r="BQ77" t="s">
        <v>206</v>
      </c>
      <c r="BR77" t="s">
        <v>89</v>
      </c>
      <c r="BS77" t="s">
        <v>86</v>
      </c>
      <c r="BT77">
        <v>0.186</v>
      </c>
      <c r="BU77" t="s">
        <v>208</v>
      </c>
      <c r="BV77" t="s">
        <v>209</v>
      </c>
      <c r="BW77">
        <v>0.99</v>
      </c>
      <c r="BX77">
        <v>0.84399999999999997</v>
      </c>
      <c r="BY77">
        <v>0.98799999999999999</v>
      </c>
      <c r="BZ77">
        <v>0.89400000000000002</v>
      </c>
      <c r="CA77">
        <v>0.91100000000000003</v>
      </c>
      <c r="CB77">
        <v>0.87</v>
      </c>
      <c r="CC77">
        <v>0.97</v>
      </c>
    </row>
    <row r="78" spans="1:81" x14ac:dyDescent="0.2">
      <c r="A78" t="s">
        <v>158</v>
      </c>
      <c r="B78" t="s">
        <v>81</v>
      </c>
      <c r="C78" t="s">
        <v>206</v>
      </c>
      <c r="D78" t="s">
        <v>106</v>
      </c>
      <c r="E78" t="s">
        <v>89</v>
      </c>
      <c r="F78">
        <v>223</v>
      </c>
      <c r="G78">
        <v>1000</v>
      </c>
      <c r="H78">
        <v>0.223</v>
      </c>
      <c r="I78">
        <v>0.93687373308989497</v>
      </c>
      <c r="J78">
        <v>0.86162471966196397</v>
      </c>
      <c r="K78">
        <v>0.98747936158503002</v>
      </c>
      <c r="L78">
        <v>0.91322869955157004</v>
      </c>
      <c r="M78">
        <v>0.78862709576747003</v>
      </c>
      <c r="N78">
        <v>0.98367713004484303</v>
      </c>
      <c r="O78">
        <v>0.98958333333333304</v>
      </c>
      <c r="P78">
        <v>0.96629213483146104</v>
      </c>
      <c r="Q78">
        <v>1</v>
      </c>
      <c r="R78">
        <v>0.96177573127896299</v>
      </c>
      <c r="S78">
        <v>0.883747806726772</v>
      </c>
      <c r="T78">
        <v>1</v>
      </c>
      <c r="U78">
        <v>0.97545214516218604</v>
      </c>
      <c r="V78">
        <v>0.94218489264656802</v>
      </c>
      <c r="W78">
        <v>0.99529120083621503</v>
      </c>
      <c r="X78">
        <v>0.223</v>
      </c>
      <c r="Y78">
        <v>0.223</v>
      </c>
      <c r="Z78">
        <v>0.223</v>
      </c>
      <c r="AA78">
        <v>0.91985901333097497</v>
      </c>
      <c r="AB78">
        <v>0.82808504628784496</v>
      </c>
      <c r="AC78">
        <v>0.98407047834818895</v>
      </c>
      <c r="AD78">
        <v>0.96806790719457503</v>
      </c>
      <c r="AE78">
        <v>0.92297472467469199</v>
      </c>
      <c r="AF78">
        <v>0.99637419235416103</v>
      </c>
      <c r="AG78">
        <v>0.97444295523819102</v>
      </c>
      <c r="AH78">
        <v>0.93110708241983597</v>
      </c>
      <c r="AI78">
        <v>0.99544451707795401</v>
      </c>
      <c r="AJ78">
        <v>200</v>
      </c>
      <c r="AK78">
        <v>99</v>
      </c>
      <c r="AL78">
        <v>101</v>
      </c>
      <c r="AM78">
        <v>95</v>
      </c>
      <c r="AN78">
        <v>3</v>
      </c>
      <c r="AO78">
        <v>5</v>
      </c>
      <c r="AP78">
        <v>1</v>
      </c>
      <c r="AQ78">
        <v>0</v>
      </c>
      <c r="AR78">
        <v>1</v>
      </c>
      <c r="AS78">
        <v>0</v>
      </c>
      <c r="AT78">
        <v>95</v>
      </c>
      <c r="AU78">
        <v>97</v>
      </c>
      <c r="AV78">
        <v>0</v>
      </c>
      <c r="AW78">
        <v>3</v>
      </c>
      <c r="AX78">
        <v>100</v>
      </c>
      <c r="AY78">
        <v>0.97</v>
      </c>
      <c r="AZ78">
        <v>0.93</v>
      </c>
      <c r="BA78">
        <v>1</v>
      </c>
      <c r="BB78">
        <v>698</v>
      </c>
      <c r="BC78">
        <v>1044.2850000000001</v>
      </c>
      <c r="BD78">
        <v>104</v>
      </c>
      <c r="BE78">
        <v>96</v>
      </c>
      <c r="BF78">
        <v>0.84207218064675105</v>
      </c>
      <c r="BG78">
        <v>0.95966298628642999</v>
      </c>
      <c r="BH78">
        <v>0.943325293011685</v>
      </c>
      <c r="BI78">
        <v>0.99973630760644905</v>
      </c>
      <c r="BJ78">
        <v>0.78862709576747003</v>
      </c>
      <c r="BK78">
        <v>0.943325293011685</v>
      </c>
      <c r="BL78">
        <v>0.98367713004484303</v>
      </c>
      <c r="BM78">
        <v>1</v>
      </c>
      <c r="BN78">
        <v>2</v>
      </c>
      <c r="BO78" t="s">
        <v>159</v>
      </c>
      <c r="BP78" t="s">
        <v>85</v>
      </c>
      <c r="BQ78" t="s">
        <v>206</v>
      </c>
      <c r="BR78" t="s">
        <v>106</v>
      </c>
      <c r="BS78" t="s">
        <v>86</v>
      </c>
      <c r="BT78">
        <v>0.223</v>
      </c>
      <c r="BU78" t="s">
        <v>210</v>
      </c>
      <c r="BV78" t="s">
        <v>211</v>
      </c>
      <c r="BW78">
        <v>0.97399999999999998</v>
      </c>
      <c r="BX78">
        <v>0.96199999999999997</v>
      </c>
      <c r="BY78">
        <v>0.97499999999999998</v>
      </c>
      <c r="BZ78">
        <v>0.93700000000000006</v>
      </c>
      <c r="CA78">
        <v>0.96799999999999997</v>
      </c>
      <c r="CB78">
        <v>0.92</v>
      </c>
      <c r="CC78">
        <v>0.97</v>
      </c>
    </row>
    <row r="79" spans="1:81" x14ac:dyDescent="0.2">
      <c r="A79" t="s">
        <v>158</v>
      </c>
      <c r="B79" t="s">
        <v>81</v>
      </c>
      <c r="C79" t="s">
        <v>206</v>
      </c>
      <c r="D79" t="s">
        <v>108</v>
      </c>
      <c r="E79" t="s">
        <v>89</v>
      </c>
      <c r="F79">
        <v>182</v>
      </c>
      <c r="G79">
        <v>1000</v>
      </c>
      <c r="H79">
        <v>0.182</v>
      </c>
      <c r="I79">
        <v>0.90755628528656496</v>
      </c>
      <c r="J79">
        <v>0.83512915147974698</v>
      </c>
      <c r="K79">
        <v>0.975217682518419</v>
      </c>
      <c r="L79">
        <v>0.97938144329896903</v>
      </c>
      <c r="M79">
        <v>0.94736842105263197</v>
      </c>
      <c r="N79">
        <v>1</v>
      </c>
      <c r="O79">
        <v>0.96019559902200502</v>
      </c>
      <c r="P79">
        <v>0.91876652861633701</v>
      </c>
      <c r="Q79">
        <v>0.99069990631355298</v>
      </c>
      <c r="R79">
        <v>0.84554623558316799</v>
      </c>
      <c r="S79">
        <v>0.727945178605793</v>
      </c>
      <c r="T79">
        <v>0.95908325911801995</v>
      </c>
      <c r="U79">
        <v>0.99524504230344801</v>
      </c>
      <c r="V79">
        <v>0.98795615696864103</v>
      </c>
      <c r="W79">
        <v>1</v>
      </c>
      <c r="X79">
        <v>0.182</v>
      </c>
      <c r="Y79">
        <v>0.182</v>
      </c>
      <c r="Z79">
        <v>0.182</v>
      </c>
      <c r="AA79">
        <v>0.88881279361065602</v>
      </c>
      <c r="AB79">
        <v>0.80501241002540203</v>
      </c>
      <c r="AC79">
        <v>0.96998600229868503</v>
      </c>
      <c r="AD79">
        <v>0.91465030096425004</v>
      </c>
      <c r="AE79">
        <v>0.84106075964576599</v>
      </c>
      <c r="AF79">
        <v>0.97793269073867795</v>
      </c>
      <c r="AG79">
        <v>0.99605501676196295</v>
      </c>
      <c r="AH79">
        <v>0.98962495310996301</v>
      </c>
      <c r="AI79">
        <v>1</v>
      </c>
      <c r="AJ79">
        <v>200</v>
      </c>
      <c r="AK79">
        <v>99</v>
      </c>
      <c r="AL79">
        <v>101</v>
      </c>
      <c r="AM79">
        <v>95</v>
      </c>
      <c r="AN79">
        <v>0</v>
      </c>
      <c r="AO79">
        <v>2</v>
      </c>
      <c r="AP79">
        <v>0</v>
      </c>
      <c r="AQ79">
        <v>0</v>
      </c>
      <c r="AR79">
        <v>4</v>
      </c>
      <c r="AS79">
        <v>3</v>
      </c>
      <c r="AT79">
        <v>96</v>
      </c>
      <c r="AU79">
        <v>97</v>
      </c>
      <c r="AV79">
        <v>0</v>
      </c>
      <c r="AW79">
        <v>3</v>
      </c>
      <c r="AX79">
        <v>100</v>
      </c>
      <c r="AY79">
        <v>0.97</v>
      </c>
      <c r="AZ79">
        <v>0.93004197481511097</v>
      </c>
      <c r="BA79">
        <v>1</v>
      </c>
      <c r="BB79">
        <v>698</v>
      </c>
      <c r="BC79">
        <v>1044.2850000000001</v>
      </c>
      <c r="BD79">
        <v>97</v>
      </c>
      <c r="BE79">
        <v>103</v>
      </c>
      <c r="BF79">
        <v>0.92749785007360896</v>
      </c>
      <c r="BG79">
        <v>0.997493170236183</v>
      </c>
      <c r="BH79">
        <v>0.903545521623496</v>
      </c>
      <c r="BI79">
        <v>0.98931906721016905</v>
      </c>
      <c r="BJ79">
        <v>0.92749785007360896</v>
      </c>
      <c r="BK79">
        <v>0.903545521623496</v>
      </c>
      <c r="BL79">
        <v>1</v>
      </c>
      <c r="BM79">
        <v>0.99069990631355298</v>
      </c>
      <c r="BN79">
        <v>2</v>
      </c>
      <c r="BO79" t="s">
        <v>159</v>
      </c>
      <c r="BP79" t="s">
        <v>85</v>
      </c>
      <c r="BQ79" t="s">
        <v>206</v>
      </c>
      <c r="BR79" t="s">
        <v>108</v>
      </c>
      <c r="BS79" t="s">
        <v>86</v>
      </c>
      <c r="BT79">
        <v>0.182</v>
      </c>
      <c r="BU79" t="s">
        <v>212</v>
      </c>
      <c r="BV79" t="s">
        <v>209</v>
      </c>
      <c r="BW79">
        <v>0.996</v>
      </c>
      <c r="BX79">
        <v>0.84599999999999997</v>
      </c>
      <c r="BY79">
        <v>0.995</v>
      </c>
      <c r="BZ79">
        <v>0.90800000000000003</v>
      </c>
      <c r="CA79">
        <v>0.91500000000000004</v>
      </c>
      <c r="CB79">
        <v>0.88900000000000001</v>
      </c>
      <c r="CC79">
        <v>0.97</v>
      </c>
    </row>
    <row r="80" spans="1:81" x14ac:dyDescent="0.2">
      <c r="A80" t="s">
        <v>158</v>
      </c>
      <c r="B80" t="s">
        <v>81</v>
      </c>
      <c r="C80" t="s">
        <v>206</v>
      </c>
      <c r="D80" t="s">
        <v>120</v>
      </c>
      <c r="E80" t="s">
        <v>89</v>
      </c>
      <c r="F80" t="s">
        <v>93</v>
      </c>
      <c r="G80" t="s">
        <v>93</v>
      </c>
      <c r="H80">
        <v>0.19298000000000001</v>
      </c>
      <c r="I80">
        <v>0.95952665075576804</v>
      </c>
      <c r="J80">
        <v>0.90043397476984699</v>
      </c>
      <c r="K80">
        <v>1</v>
      </c>
      <c r="L80">
        <v>1</v>
      </c>
      <c r="M80">
        <v>1</v>
      </c>
      <c r="N80">
        <v>1</v>
      </c>
      <c r="O80">
        <v>0.97982701791777105</v>
      </c>
      <c r="P80">
        <v>0.94749901930528302</v>
      </c>
      <c r="Q80">
        <v>1</v>
      </c>
      <c r="R80">
        <v>0.92220204530249394</v>
      </c>
      <c r="S80">
        <v>0.818899415085383</v>
      </c>
      <c r="T80">
        <v>1</v>
      </c>
      <c r="U80">
        <v>1</v>
      </c>
      <c r="V80">
        <v>1</v>
      </c>
      <c r="W80">
        <v>1</v>
      </c>
      <c r="X80">
        <v>0.19298000000000001</v>
      </c>
      <c r="Y80">
        <v>0.17297999999999999</v>
      </c>
      <c r="Z80">
        <v>0.22052586922963999</v>
      </c>
      <c r="AA80">
        <v>0.95057797153437795</v>
      </c>
      <c r="AB80">
        <v>0.88107270668752902</v>
      </c>
      <c r="AC80">
        <v>1</v>
      </c>
      <c r="AD80">
        <v>0.95952665075576804</v>
      </c>
      <c r="AE80">
        <v>0.90043397476984699</v>
      </c>
      <c r="AF80">
        <v>1</v>
      </c>
      <c r="AG80">
        <v>1</v>
      </c>
      <c r="AH80">
        <v>1</v>
      </c>
      <c r="AI80">
        <v>1</v>
      </c>
      <c r="AJ80">
        <v>200</v>
      </c>
      <c r="AK80">
        <v>99</v>
      </c>
      <c r="AL80">
        <v>101</v>
      </c>
      <c r="AM80">
        <v>95</v>
      </c>
      <c r="AN80">
        <v>2</v>
      </c>
      <c r="AO80">
        <v>0</v>
      </c>
      <c r="AP80">
        <v>0</v>
      </c>
      <c r="AQ80">
        <v>0</v>
      </c>
      <c r="AR80">
        <v>2</v>
      </c>
      <c r="AS80">
        <v>5</v>
      </c>
      <c r="AT80">
        <v>96</v>
      </c>
      <c r="AU80">
        <v>97</v>
      </c>
      <c r="AV80">
        <v>0</v>
      </c>
      <c r="AW80">
        <v>3</v>
      </c>
      <c r="AX80">
        <v>100</v>
      </c>
      <c r="AY80">
        <v>0.97</v>
      </c>
      <c r="AZ80">
        <v>0.92994395516413098</v>
      </c>
      <c r="BA80">
        <v>1</v>
      </c>
      <c r="BB80">
        <v>698</v>
      </c>
      <c r="BC80">
        <v>1044.2850000000001</v>
      </c>
      <c r="BD80">
        <v>97</v>
      </c>
      <c r="BE80">
        <v>103</v>
      </c>
      <c r="BF80">
        <v>0.96268436309126404</v>
      </c>
      <c r="BG80">
        <v>1</v>
      </c>
      <c r="BH80">
        <v>0.931614068099619</v>
      </c>
      <c r="BI80">
        <v>0.99763974206289097</v>
      </c>
      <c r="BJ80">
        <v>0.96268436309126404</v>
      </c>
      <c r="BK80">
        <v>0.931614068099619</v>
      </c>
      <c r="BL80">
        <v>1</v>
      </c>
      <c r="BM80">
        <v>1</v>
      </c>
      <c r="BN80">
        <v>2</v>
      </c>
      <c r="BO80" t="s">
        <v>159</v>
      </c>
      <c r="BP80" t="s">
        <v>85</v>
      </c>
      <c r="BQ80" t="s">
        <v>206</v>
      </c>
      <c r="BR80" t="s">
        <v>120</v>
      </c>
      <c r="BS80" t="s">
        <v>86</v>
      </c>
      <c r="BT80">
        <v>0.193</v>
      </c>
      <c r="BU80" t="s">
        <v>213</v>
      </c>
      <c r="BV80" t="s">
        <v>200</v>
      </c>
      <c r="BW80">
        <v>1</v>
      </c>
      <c r="BX80">
        <v>0.92200000000000004</v>
      </c>
      <c r="BY80">
        <v>1</v>
      </c>
      <c r="BZ80">
        <v>0.96</v>
      </c>
      <c r="CA80">
        <v>0.96</v>
      </c>
      <c r="CB80">
        <v>0.95099999999999996</v>
      </c>
      <c r="CC80">
        <v>0.97</v>
      </c>
    </row>
    <row r="81" spans="1:81" x14ac:dyDescent="0.2">
      <c r="A81" t="s">
        <v>158</v>
      </c>
      <c r="B81" t="s">
        <v>81</v>
      </c>
      <c r="C81" t="s">
        <v>206</v>
      </c>
      <c r="D81" t="s">
        <v>123</v>
      </c>
      <c r="E81" t="s">
        <v>89</v>
      </c>
      <c r="F81" t="s">
        <v>93</v>
      </c>
      <c r="G81" t="s">
        <v>93</v>
      </c>
      <c r="H81">
        <v>0.21112</v>
      </c>
      <c r="I81">
        <v>0.99557543175222396</v>
      </c>
      <c r="J81">
        <v>0.98482128284641801</v>
      </c>
      <c r="K81">
        <v>1</v>
      </c>
      <c r="L81">
        <v>0.99118984463811999</v>
      </c>
      <c r="M81">
        <v>0.97009646302250796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0.99764777297215301</v>
      </c>
      <c r="V81">
        <v>0.99232660377829895</v>
      </c>
      <c r="W81">
        <v>1</v>
      </c>
      <c r="X81">
        <v>0.21112</v>
      </c>
      <c r="Y81">
        <v>0.18238805466670299</v>
      </c>
      <c r="Z81">
        <v>0.24667128966017701</v>
      </c>
      <c r="AA81">
        <v>0.99441356642789003</v>
      </c>
      <c r="AB81">
        <v>0.98128742854546602</v>
      </c>
      <c r="AC81">
        <v>1</v>
      </c>
      <c r="AD81">
        <v>0.99881204789545697</v>
      </c>
      <c r="AE81">
        <v>0.99603573067439699</v>
      </c>
      <c r="AF81">
        <v>1</v>
      </c>
      <c r="AG81">
        <v>0.99762691490235</v>
      </c>
      <c r="AH81">
        <v>0.99210276810300901</v>
      </c>
      <c r="AI81">
        <v>1</v>
      </c>
      <c r="AJ81">
        <v>200</v>
      </c>
      <c r="AK81">
        <v>99</v>
      </c>
      <c r="AL81">
        <v>101</v>
      </c>
      <c r="AM81">
        <v>95</v>
      </c>
      <c r="AN81">
        <v>4</v>
      </c>
      <c r="AO81">
        <v>1</v>
      </c>
      <c r="AP81">
        <v>0</v>
      </c>
      <c r="AQ81">
        <v>0</v>
      </c>
      <c r="AR81">
        <v>0</v>
      </c>
      <c r="AS81">
        <v>4</v>
      </c>
      <c r="AT81">
        <v>96</v>
      </c>
      <c r="AU81">
        <v>97</v>
      </c>
      <c r="AV81">
        <v>0</v>
      </c>
      <c r="AW81">
        <v>3</v>
      </c>
      <c r="AX81">
        <v>100</v>
      </c>
      <c r="AY81">
        <v>0.97</v>
      </c>
      <c r="AZ81">
        <v>0.93</v>
      </c>
      <c r="BA81">
        <v>1</v>
      </c>
      <c r="BB81">
        <v>698</v>
      </c>
      <c r="BC81">
        <v>1044.2850000000001</v>
      </c>
      <c r="BD81">
        <v>100</v>
      </c>
      <c r="BE81">
        <v>100</v>
      </c>
      <c r="BF81">
        <v>0.94554061460791905</v>
      </c>
      <c r="BG81">
        <v>0.99974685396702301</v>
      </c>
      <c r="BH81">
        <v>0.96378330735482398</v>
      </c>
      <c r="BI81">
        <v>1</v>
      </c>
      <c r="BJ81">
        <v>0.94554061460791905</v>
      </c>
      <c r="BK81">
        <v>0.96378330735482398</v>
      </c>
      <c r="BL81">
        <v>1</v>
      </c>
      <c r="BM81">
        <v>1</v>
      </c>
      <c r="BN81">
        <v>2</v>
      </c>
      <c r="BO81" t="s">
        <v>159</v>
      </c>
      <c r="BP81" t="s">
        <v>85</v>
      </c>
      <c r="BQ81" t="s">
        <v>206</v>
      </c>
      <c r="BR81" t="s">
        <v>123</v>
      </c>
      <c r="BS81" t="s">
        <v>86</v>
      </c>
      <c r="BT81">
        <v>0.21099999999999999</v>
      </c>
      <c r="BU81" t="s">
        <v>180</v>
      </c>
      <c r="BV81" t="s">
        <v>213</v>
      </c>
      <c r="BW81">
        <v>0.998</v>
      </c>
      <c r="BX81">
        <v>1</v>
      </c>
      <c r="BY81">
        <v>0.998</v>
      </c>
      <c r="BZ81">
        <v>0.996</v>
      </c>
      <c r="CA81">
        <v>0.999</v>
      </c>
      <c r="CB81">
        <v>0.99399999999999999</v>
      </c>
      <c r="CC81">
        <v>0.97</v>
      </c>
    </row>
    <row r="82" spans="1:81" x14ac:dyDescent="0.2">
      <c r="A82" t="s">
        <v>80</v>
      </c>
      <c r="B82" t="s">
        <v>81</v>
      </c>
      <c r="C82" t="s">
        <v>206</v>
      </c>
      <c r="D82" t="s">
        <v>83</v>
      </c>
      <c r="E82" t="s">
        <v>89</v>
      </c>
      <c r="F82">
        <v>186</v>
      </c>
      <c r="G82">
        <v>700</v>
      </c>
      <c r="H82">
        <v>0.26571428571428601</v>
      </c>
      <c r="I82">
        <v>0.91283955847612497</v>
      </c>
      <c r="J82">
        <v>0.87110417206550195</v>
      </c>
      <c r="K82">
        <v>0.96608563558734095</v>
      </c>
      <c r="L82">
        <v>0.91578947368421004</v>
      </c>
      <c r="M82">
        <v>0.88624787775891301</v>
      </c>
      <c r="N82">
        <v>0.990291262135922</v>
      </c>
      <c r="O82">
        <v>0.96718812038433999</v>
      </c>
      <c r="P82">
        <v>0.93422759232712105</v>
      </c>
      <c r="Q82">
        <v>0.991439688715953</v>
      </c>
      <c r="R82">
        <v>0.909908586615501</v>
      </c>
      <c r="S82">
        <v>0.83520874102950204</v>
      </c>
      <c r="T82">
        <v>0.97505998111643</v>
      </c>
      <c r="U82">
        <v>0.96945549237267004</v>
      </c>
      <c r="V82">
        <v>0.95900222722942396</v>
      </c>
      <c r="W82">
        <v>0.99640262243697197</v>
      </c>
      <c r="X82">
        <v>0.26571428571428601</v>
      </c>
      <c r="Y82">
        <v>0.26571428571428601</v>
      </c>
      <c r="Z82">
        <v>0.26571428571428601</v>
      </c>
      <c r="AA82">
        <v>0.88116898423360501</v>
      </c>
      <c r="AB82">
        <v>0.82322355451307405</v>
      </c>
      <c r="AC82">
        <v>0.95389984743196599</v>
      </c>
      <c r="AD82">
        <v>0.93928072296157805</v>
      </c>
      <c r="AE82">
        <v>0.89796435140168296</v>
      </c>
      <c r="AF82">
        <v>0.97609507408111396</v>
      </c>
      <c r="AG82">
        <v>0.97061239748070505</v>
      </c>
      <c r="AH82">
        <v>0.95908990608155598</v>
      </c>
      <c r="AI82">
        <v>0.99677001256299602</v>
      </c>
      <c r="AJ82">
        <v>200</v>
      </c>
      <c r="AK82">
        <v>98</v>
      </c>
      <c r="AL82">
        <v>102</v>
      </c>
      <c r="AM82">
        <v>93</v>
      </c>
      <c r="AN82">
        <v>0</v>
      </c>
      <c r="AO82">
        <v>2</v>
      </c>
      <c r="AP82">
        <v>2</v>
      </c>
      <c r="AQ82">
        <v>3</v>
      </c>
      <c r="AR82">
        <v>2</v>
      </c>
      <c r="AS82">
        <v>2</v>
      </c>
      <c r="AT82">
        <v>96</v>
      </c>
      <c r="AU82">
        <v>93</v>
      </c>
      <c r="AV82">
        <v>1</v>
      </c>
      <c r="AW82">
        <v>8</v>
      </c>
      <c r="AX82">
        <v>98</v>
      </c>
      <c r="AY82">
        <v>0.91005396761942803</v>
      </c>
      <c r="AZ82">
        <v>0.84945804897631505</v>
      </c>
      <c r="BA82">
        <v>0.96</v>
      </c>
      <c r="BB82">
        <v>850</v>
      </c>
      <c r="BC82">
        <v>1293.32</v>
      </c>
      <c r="BD82">
        <v>97</v>
      </c>
      <c r="BE82">
        <v>103</v>
      </c>
      <c r="BF82">
        <v>0.84394730319733402</v>
      </c>
      <c r="BG82">
        <v>0.96371975017983702</v>
      </c>
      <c r="BH82">
        <v>0.917235057389162</v>
      </c>
      <c r="BI82">
        <v>0.993952721469058</v>
      </c>
      <c r="BJ82">
        <v>0.84394730319733402</v>
      </c>
      <c r="BK82">
        <v>0.917235057389162</v>
      </c>
      <c r="BL82">
        <v>0.990291262135922</v>
      </c>
      <c r="BM82">
        <v>0.993952721469058</v>
      </c>
      <c r="BN82">
        <v>1</v>
      </c>
      <c r="BO82" t="s">
        <v>84</v>
      </c>
      <c r="BP82" t="s">
        <v>85</v>
      </c>
      <c r="BQ82" t="s">
        <v>206</v>
      </c>
      <c r="BR82" t="s">
        <v>83</v>
      </c>
      <c r="BS82" t="s">
        <v>86</v>
      </c>
      <c r="BT82">
        <v>0.26600000000000001</v>
      </c>
      <c r="BU82" t="s">
        <v>214</v>
      </c>
      <c r="BV82" t="s">
        <v>173</v>
      </c>
      <c r="BW82">
        <v>0.97099999999999997</v>
      </c>
      <c r="BX82">
        <v>0.91</v>
      </c>
      <c r="BY82">
        <v>0.96899999999999997</v>
      </c>
      <c r="BZ82">
        <v>0.91300000000000003</v>
      </c>
      <c r="CA82">
        <v>0.93899999999999995</v>
      </c>
      <c r="CB82">
        <v>0.88100000000000001</v>
      </c>
      <c r="CC82">
        <v>0.91</v>
      </c>
    </row>
    <row r="83" spans="1:81" x14ac:dyDescent="0.2">
      <c r="A83" t="s">
        <v>80</v>
      </c>
      <c r="B83" t="s">
        <v>81</v>
      </c>
      <c r="C83" t="s">
        <v>206</v>
      </c>
      <c r="D83" t="s">
        <v>89</v>
      </c>
      <c r="E83" t="s">
        <v>89</v>
      </c>
      <c r="F83">
        <v>1003</v>
      </c>
      <c r="G83">
        <v>3825</v>
      </c>
      <c r="H83">
        <v>0.26222222222222202</v>
      </c>
      <c r="I83">
        <v>0.95225285810356397</v>
      </c>
      <c r="J83">
        <v>0.90682953465326499</v>
      </c>
      <c r="K83">
        <v>0.98958333333333304</v>
      </c>
      <c r="L83">
        <v>0.96</v>
      </c>
      <c r="M83">
        <v>0.91666666666666696</v>
      </c>
      <c r="N83">
        <v>0.99056603773584895</v>
      </c>
      <c r="O83">
        <v>0.98</v>
      </c>
      <c r="P83">
        <v>0.94736842105263197</v>
      </c>
      <c r="Q83">
        <v>1</v>
      </c>
      <c r="R83">
        <v>0.94462975316877895</v>
      </c>
      <c r="S83">
        <v>0.86642920008880797</v>
      </c>
      <c r="T83">
        <v>1</v>
      </c>
      <c r="U83">
        <v>0.98570043625787696</v>
      </c>
      <c r="V83">
        <v>0.97061307577365397</v>
      </c>
      <c r="W83">
        <v>0.99660966134089501</v>
      </c>
      <c r="X83">
        <v>0.26222222222222202</v>
      </c>
      <c r="Y83">
        <v>0.26222222222222202</v>
      </c>
      <c r="Z83">
        <v>0.26222222222222202</v>
      </c>
      <c r="AA83">
        <v>0.93515259613661805</v>
      </c>
      <c r="AB83">
        <v>0.87399262344071005</v>
      </c>
      <c r="AC83">
        <v>0.98603066559287</v>
      </c>
      <c r="AD83">
        <v>0.96496917513330505</v>
      </c>
      <c r="AE83">
        <v>0.92194125652232894</v>
      </c>
      <c r="AF83">
        <v>0.996272664097542</v>
      </c>
      <c r="AG83">
        <v>0.98620375324495202</v>
      </c>
      <c r="AH83">
        <v>0.97033312382149595</v>
      </c>
      <c r="AI83">
        <v>0.99686453738640601</v>
      </c>
      <c r="AJ83">
        <v>200</v>
      </c>
      <c r="AK83">
        <v>98</v>
      </c>
      <c r="AL83">
        <v>102</v>
      </c>
      <c r="AM83">
        <v>96</v>
      </c>
      <c r="AN83">
        <v>0</v>
      </c>
      <c r="AO83">
        <v>4</v>
      </c>
      <c r="AP83">
        <v>0</v>
      </c>
      <c r="AQ83">
        <v>0</v>
      </c>
      <c r="AR83">
        <v>2</v>
      </c>
      <c r="AS83">
        <v>0</v>
      </c>
      <c r="AT83">
        <v>98</v>
      </c>
      <c r="AU83">
        <v>93</v>
      </c>
      <c r="AV83">
        <v>1</v>
      </c>
      <c r="AW83">
        <v>8</v>
      </c>
      <c r="AX83">
        <v>98</v>
      </c>
      <c r="AY83">
        <v>0.91005396761942803</v>
      </c>
      <c r="AZ83">
        <v>0.84981978374048905</v>
      </c>
      <c r="BA83">
        <v>0.96</v>
      </c>
      <c r="BB83">
        <v>850</v>
      </c>
      <c r="BC83">
        <v>1293.32</v>
      </c>
      <c r="BD83">
        <v>100</v>
      </c>
      <c r="BE83">
        <v>100</v>
      </c>
      <c r="BF83">
        <v>0.90074284328734</v>
      </c>
      <c r="BG83">
        <v>0.98899550601381203</v>
      </c>
      <c r="BH83">
        <v>0.92961606752893</v>
      </c>
      <c r="BI83">
        <v>0.99756866317605697</v>
      </c>
      <c r="BJ83">
        <v>0.90074284328734</v>
      </c>
      <c r="BK83">
        <v>0.92961606752893</v>
      </c>
      <c r="BL83">
        <v>0.99056603773584895</v>
      </c>
      <c r="BM83">
        <v>1</v>
      </c>
      <c r="BN83">
        <v>1</v>
      </c>
      <c r="BO83" t="s">
        <v>84</v>
      </c>
      <c r="BP83" t="s">
        <v>85</v>
      </c>
      <c r="BQ83" t="s">
        <v>206</v>
      </c>
      <c r="BR83" t="s">
        <v>89</v>
      </c>
      <c r="BS83" t="s">
        <v>86</v>
      </c>
      <c r="BT83">
        <v>0.26200000000000001</v>
      </c>
      <c r="BU83" t="s">
        <v>209</v>
      </c>
      <c r="BV83" t="s">
        <v>200</v>
      </c>
      <c r="BW83">
        <v>0.98599999999999999</v>
      </c>
      <c r="BX83">
        <v>0.94499999999999995</v>
      </c>
      <c r="BY83">
        <v>0.98599999999999999</v>
      </c>
      <c r="BZ83">
        <v>0.95199999999999996</v>
      </c>
      <c r="CA83">
        <v>0.96499999999999997</v>
      </c>
      <c r="CB83">
        <v>0.93500000000000005</v>
      </c>
      <c r="CC83">
        <v>0.91</v>
      </c>
    </row>
    <row r="84" spans="1:81" x14ac:dyDescent="0.2">
      <c r="A84" t="s">
        <v>80</v>
      </c>
      <c r="B84" t="s">
        <v>81</v>
      </c>
      <c r="C84" t="s">
        <v>206</v>
      </c>
      <c r="D84" t="s">
        <v>106</v>
      </c>
      <c r="E84" t="s">
        <v>89</v>
      </c>
      <c r="F84">
        <v>197</v>
      </c>
      <c r="G84">
        <v>700</v>
      </c>
      <c r="H84">
        <v>0.28142857142857097</v>
      </c>
      <c r="I84">
        <v>0.89253343336444801</v>
      </c>
      <c r="J84">
        <v>0.85162120646221695</v>
      </c>
      <c r="K84">
        <v>0.97213841625035102</v>
      </c>
      <c r="L84">
        <v>0.84791878172588797</v>
      </c>
      <c r="M84">
        <v>0.81187509613905595</v>
      </c>
      <c r="N84">
        <v>0.97938144329896903</v>
      </c>
      <c r="O84">
        <v>0.97959183673469397</v>
      </c>
      <c r="P84">
        <v>0.94736842105263197</v>
      </c>
      <c r="Q84">
        <v>1</v>
      </c>
      <c r="R84">
        <v>0.94210378500821801</v>
      </c>
      <c r="S84">
        <v>0.86447495415629205</v>
      </c>
      <c r="T84">
        <v>1</v>
      </c>
      <c r="U84">
        <v>0.94268164503881802</v>
      </c>
      <c r="V84">
        <v>0.92998706449787405</v>
      </c>
      <c r="W84">
        <v>0.99183405699701299</v>
      </c>
      <c r="X84">
        <v>0.28142857142857097</v>
      </c>
      <c r="Y84">
        <v>0.28142857142857097</v>
      </c>
      <c r="Z84">
        <v>0.28142857142857097</v>
      </c>
      <c r="AA84">
        <v>0.85566894206996602</v>
      </c>
      <c r="AB84">
        <v>0.796520071225573</v>
      </c>
      <c r="AC84">
        <v>0.96131083215804902</v>
      </c>
      <c r="AD84">
        <v>0.94001178827038301</v>
      </c>
      <c r="AE84">
        <v>0.90186420289224001</v>
      </c>
      <c r="AF84">
        <v>0.98151903248522399</v>
      </c>
      <c r="AG84">
        <v>0.93792906175051705</v>
      </c>
      <c r="AH84">
        <v>0.92025755890377903</v>
      </c>
      <c r="AI84">
        <v>0.99227031298470503</v>
      </c>
      <c r="AJ84">
        <v>200</v>
      </c>
      <c r="AK84">
        <v>98</v>
      </c>
      <c r="AL84">
        <v>102</v>
      </c>
      <c r="AM84">
        <v>96</v>
      </c>
      <c r="AN84">
        <v>0</v>
      </c>
      <c r="AO84">
        <v>4</v>
      </c>
      <c r="AP84">
        <v>2</v>
      </c>
      <c r="AQ84">
        <v>0</v>
      </c>
      <c r="AR84">
        <v>2</v>
      </c>
      <c r="AS84">
        <v>0</v>
      </c>
      <c r="AT84">
        <v>96</v>
      </c>
      <c r="AU84">
        <v>93</v>
      </c>
      <c r="AV84">
        <v>1</v>
      </c>
      <c r="AW84">
        <v>8</v>
      </c>
      <c r="AX84">
        <v>98</v>
      </c>
      <c r="AY84">
        <v>0.91005396761942803</v>
      </c>
      <c r="AZ84">
        <v>0.84909456740442701</v>
      </c>
      <c r="BA84">
        <v>0.96</v>
      </c>
      <c r="BB84">
        <v>850</v>
      </c>
      <c r="BC84">
        <v>1293.32</v>
      </c>
      <c r="BD84">
        <v>102</v>
      </c>
      <c r="BE84">
        <v>98</v>
      </c>
      <c r="BF84">
        <v>0.75779886365265503</v>
      </c>
      <c r="BG84">
        <v>0.90759753486977501</v>
      </c>
      <c r="BH84">
        <v>0.928217942829897</v>
      </c>
      <c r="BI84">
        <v>0.99751885012126695</v>
      </c>
      <c r="BJ84">
        <v>0.75779886365265503</v>
      </c>
      <c r="BK84">
        <v>0.928217942829897</v>
      </c>
      <c r="BL84">
        <v>0.97938144329896903</v>
      </c>
      <c r="BM84">
        <v>1</v>
      </c>
      <c r="BN84">
        <v>1</v>
      </c>
      <c r="BO84" t="s">
        <v>84</v>
      </c>
      <c r="BP84" t="s">
        <v>85</v>
      </c>
      <c r="BQ84" t="s">
        <v>206</v>
      </c>
      <c r="BR84" t="s">
        <v>106</v>
      </c>
      <c r="BS84" t="s">
        <v>86</v>
      </c>
      <c r="BT84">
        <v>0.28100000000000003</v>
      </c>
      <c r="BU84" t="s">
        <v>215</v>
      </c>
      <c r="BV84" t="s">
        <v>200</v>
      </c>
      <c r="BW84">
        <v>0.93799999999999994</v>
      </c>
      <c r="BX84">
        <v>0.94199999999999995</v>
      </c>
      <c r="BY84">
        <v>0.94299999999999995</v>
      </c>
      <c r="BZ84">
        <v>0.89300000000000002</v>
      </c>
      <c r="CA84">
        <v>0.94</v>
      </c>
      <c r="CB84">
        <v>0.85599999999999998</v>
      </c>
      <c r="CC84">
        <v>0.91</v>
      </c>
    </row>
    <row r="85" spans="1:81" x14ac:dyDescent="0.2">
      <c r="A85" t="s">
        <v>80</v>
      </c>
      <c r="B85" t="s">
        <v>81</v>
      </c>
      <c r="C85" t="s">
        <v>206</v>
      </c>
      <c r="D85" t="s">
        <v>108</v>
      </c>
      <c r="E85" t="s">
        <v>89</v>
      </c>
      <c r="F85">
        <v>174</v>
      </c>
      <c r="G85">
        <v>700</v>
      </c>
      <c r="H85">
        <v>0.248571428571429</v>
      </c>
      <c r="I85">
        <v>0.94307569024550197</v>
      </c>
      <c r="J85">
        <v>0.89806945172193797</v>
      </c>
      <c r="K85">
        <v>0.98079808738061403</v>
      </c>
      <c r="L85">
        <v>0.97894736842105301</v>
      </c>
      <c r="M85">
        <v>0.94565217391304301</v>
      </c>
      <c r="N85">
        <v>1</v>
      </c>
      <c r="O85">
        <v>0.96787072243345995</v>
      </c>
      <c r="P85">
        <v>0.93574141380252995</v>
      </c>
      <c r="Q85">
        <v>0.99163498098859304</v>
      </c>
      <c r="R85">
        <v>0.90973998594518601</v>
      </c>
      <c r="S85">
        <v>0.83387448853068902</v>
      </c>
      <c r="T85">
        <v>0.97533632286995497</v>
      </c>
      <c r="U85">
        <v>0.99285604311008502</v>
      </c>
      <c r="V85">
        <v>0.98174439043844597</v>
      </c>
      <c r="W85">
        <v>1</v>
      </c>
      <c r="X85">
        <v>0.248571428571429</v>
      </c>
      <c r="Y85">
        <v>0.248571428571429</v>
      </c>
      <c r="Z85">
        <v>0.248571428571429</v>
      </c>
      <c r="AA85">
        <v>0.92444266941924302</v>
      </c>
      <c r="AB85">
        <v>0.86501555027599697</v>
      </c>
      <c r="AC85">
        <v>0.97456260398690997</v>
      </c>
      <c r="AD85">
        <v>0.94980877149391296</v>
      </c>
      <c r="AE85">
        <v>0.90689927081892097</v>
      </c>
      <c r="AF85">
        <v>0.98486267126441396</v>
      </c>
      <c r="AG85">
        <v>0.99356977445680195</v>
      </c>
      <c r="AH85">
        <v>0.98309711583653203</v>
      </c>
      <c r="AI85">
        <v>1</v>
      </c>
      <c r="AJ85">
        <v>200</v>
      </c>
      <c r="AK85">
        <v>98</v>
      </c>
      <c r="AL85">
        <v>102</v>
      </c>
      <c r="AM85">
        <v>93</v>
      </c>
      <c r="AN85">
        <v>0</v>
      </c>
      <c r="AO85">
        <v>2</v>
      </c>
      <c r="AP85">
        <v>0</v>
      </c>
      <c r="AQ85">
        <v>3</v>
      </c>
      <c r="AR85">
        <v>2</v>
      </c>
      <c r="AS85">
        <v>2</v>
      </c>
      <c r="AT85">
        <v>98</v>
      </c>
      <c r="AU85">
        <v>93</v>
      </c>
      <c r="AV85">
        <v>1</v>
      </c>
      <c r="AW85">
        <v>8</v>
      </c>
      <c r="AX85">
        <v>98</v>
      </c>
      <c r="AY85">
        <v>0.91005396761942803</v>
      </c>
      <c r="AZ85">
        <v>0.84894259818731099</v>
      </c>
      <c r="BA85">
        <v>0.96001199640108004</v>
      </c>
      <c r="BB85">
        <v>850</v>
      </c>
      <c r="BC85">
        <v>1293.32</v>
      </c>
      <c r="BD85">
        <v>95</v>
      </c>
      <c r="BE85">
        <v>105</v>
      </c>
      <c r="BF85">
        <v>0.92601345257117296</v>
      </c>
      <c r="BG85">
        <v>0.99744018201393803</v>
      </c>
      <c r="BH85">
        <v>0.91876806723160698</v>
      </c>
      <c r="BI85">
        <v>0.99406867804211296</v>
      </c>
      <c r="BJ85">
        <v>0.92601345257117296</v>
      </c>
      <c r="BK85">
        <v>0.91876806723160698</v>
      </c>
      <c r="BL85">
        <v>1</v>
      </c>
      <c r="BM85">
        <v>0.99406867804211296</v>
      </c>
      <c r="BN85">
        <v>1</v>
      </c>
      <c r="BO85" t="s">
        <v>84</v>
      </c>
      <c r="BP85" t="s">
        <v>85</v>
      </c>
      <c r="BQ85" t="s">
        <v>206</v>
      </c>
      <c r="BR85" t="s">
        <v>108</v>
      </c>
      <c r="BS85" t="s">
        <v>86</v>
      </c>
      <c r="BT85">
        <v>0.249</v>
      </c>
      <c r="BU85" t="s">
        <v>212</v>
      </c>
      <c r="BV85" t="s">
        <v>216</v>
      </c>
      <c r="BW85">
        <v>0.99399999999999999</v>
      </c>
      <c r="BX85">
        <v>0.91</v>
      </c>
      <c r="BY85">
        <v>0.99299999999999999</v>
      </c>
      <c r="BZ85">
        <v>0.94299999999999995</v>
      </c>
      <c r="CA85">
        <v>0.95</v>
      </c>
      <c r="CB85">
        <v>0.92400000000000004</v>
      </c>
      <c r="CC85">
        <v>0.91</v>
      </c>
    </row>
    <row r="86" spans="1:81" x14ac:dyDescent="0.2">
      <c r="A86" t="s">
        <v>80</v>
      </c>
      <c r="B86" t="s">
        <v>81</v>
      </c>
      <c r="C86" t="s">
        <v>206</v>
      </c>
      <c r="D86" t="s">
        <v>120</v>
      </c>
      <c r="E86" t="s">
        <v>89</v>
      </c>
      <c r="F86" t="s">
        <v>93</v>
      </c>
      <c r="G86" t="s">
        <v>93</v>
      </c>
      <c r="H86">
        <v>0.25600000000000001</v>
      </c>
      <c r="I86">
        <v>0.97992514460700897</v>
      </c>
      <c r="J86">
        <v>0.95802698511916096</v>
      </c>
      <c r="K86">
        <v>0.99547308013273095</v>
      </c>
      <c r="L86">
        <v>1</v>
      </c>
      <c r="M86">
        <v>1</v>
      </c>
      <c r="N86">
        <v>1</v>
      </c>
      <c r="O86">
        <v>0.98590203106332097</v>
      </c>
      <c r="P86">
        <v>0.971491283367237</v>
      </c>
      <c r="Q86">
        <v>0.99673006890389204</v>
      </c>
      <c r="R86">
        <v>0.96064042695130103</v>
      </c>
      <c r="S86">
        <v>0.91943550498639504</v>
      </c>
      <c r="T86">
        <v>0.99098696156820298</v>
      </c>
      <c r="U86">
        <v>1</v>
      </c>
      <c r="V86">
        <v>1</v>
      </c>
      <c r="W86">
        <v>1</v>
      </c>
      <c r="X86">
        <v>0.25600000000000001</v>
      </c>
      <c r="Y86">
        <v>0.23366336633663401</v>
      </c>
      <c r="Z86">
        <v>0.28167583299879601</v>
      </c>
      <c r="AA86">
        <v>0.97318926630580105</v>
      </c>
      <c r="AB86">
        <v>0.945232148286276</v>
      </c>
      <c r="AC86">
        <v>0.99381223692374598</v>
      </c>
      <c r="AD86">
        <v>0.97992514460700897</v>
      </c>
      <c r="AE86">
        <v>0.95802698511916096</v>
      </c>
      <c r="AF86">
        <v>0.99547308013273095</v>
      </c>
      <c r="AG86">
        <v>1</v>
      </c>
      <c r="AH86">
        <v>1</v>
      </c>
      <c r="AI86">
        <v>1</v>
      </c>
      <c r="AJ86">
        <v>200</v>
      </c>
      <c r="AK86">
        <v>98</v>
      </c>
      <c r="AL86">
        <v>102</v>
      </c>
      <c r="AM86">
        <v>92</v>
      </c>
      <c r="AN86">
        <v>2</v>
      </c>
      <c r="AO86">
        <v>0</v>
      </c>
      <c r="AP86">
        <v>0</v>
      </c>
      <c r="AQ86">
        <v>4</v>
      </c>
      <c r="AR86">
        <v>0</v>
      </c>
      <c r="AS86">
        <v>4</v>
      </c>
      <c r="AT86">
        <v>98</v>
      </c>
      <c r="AU86">
        <v>93</v>
      </c>
      <c r="AV86">
        <v>1</v>
      </c>
      <c r="AW86">
        <v>8</v>
      </c>
      <c r="AX86">
        <v>98</v>
      </c>
      <c r="AY86">
        <v>0.91005396761942803</v>
      </c>
      <c r="AZ86">
        <v>0.84966851893733197</v>
      </c>
      <c r="BA86">
        <v>0.96000009999000102</v>
      </c>
      <c r="BB86">
        <v>850</v>
      </c>
      <c r="BC86">
        <v>1293.32</v>
      </c>
      <c r="BD86">
        <v>94</v>
      </c>
      <c r="BE86">
        <v>106</v>
      </c>
      <c r="BF86">
        <v>0.96151664900247102</v>
      </c>
      <c r="BG86">
        <v>1</v>
      </c>
      <c r="BH86">
        <v>0.94855692046011597</v>
      </c>
      <c r="BI86">
        <v>0.99976118127659797</v>
      </c>
      <c r="BJ86">
        <v>0.96151664900247102</v>
      </c>
      <c r="BK86">
        <v>0.94855692046011597</v>
      </c>
      <c r="BL86">
        <v>1</v>
      </c>
      <c r="BM86">
        <v>0.99976118127659797</v>
      </c>
      <c r="BN86">
        <v>1</v>
      </c>
      <c r="BO86" t="s">
        <v>84</v>
      </c>
      <c r="BP86" t="s">
        <v>85</v>
      </c>
      <c r="BQ86" t="s">
        <v>206</v>
      </c>
      <c r="BR86" t="s">
        <v>120</v>
      </c>
      <c r="BS86" t="s">
        <v>86</v>
      </c>
      <c r="BT86">
        <v>0.25600000000000001</v>
      </c>
      <c r="BU86" t="s">
        <v>213</v>
      </c>
      <c r="BV86" t="s">
        <v>134</v>
      </c>
      <c r="BW86">
        <v>1</v>
      </c>
      <c r="BX86">
        <v>0.96099999999999997</v>
      </c>
      <c r="BY86">
        <v>1</v>
      </c>
      <c r="BZ86">
        <v>0.98</v>
      </c>
      <c r="CA86">
        <v>0.98</v>
      </c>
      <c r="CB86">
        <v>0.97299999999999998</v>
      </c>
      <c r="CC86">
        <v>0.91</v>
      </c>
    </row>
    <row r="87" spans="1:81" x14ac:dyDescent="0.2">
      <c r="A87" t="s">
        <v>80</v>
      </c>
      <c r="B87" t="s">
        <v>81</v>
      </c>
      <c r="C87" t="s">
        <v>206</v>
      </c>
      <c r="D87" t="s">
        <v>123</v>
      </c>
      <c r="E87" t="s">
        <v>89</v>
      </c>
      <c r="F87" t="s">
        <v>93</v>
      </c>
      <c r="G87" t="s">
        <v>93</v>
      </c>
      <c r="H87">
        <v>0.27911111111111098</v>
      </c>
      <c r="I87">
        <v>0.96725317693059598</v>
      </c>
      <c r="J87">
        <v>0.930318846535378</v>
      </c>
      <c r="K87">
        <v>0.99487658736886497</v>
      </c>
      <c r="L87">
        <v>0.94538216560509603</v>
      </c>
      <c r="M87">
        <v>0.87918761438690196</v>
      </c>
      <c r="N87">
        <v>0.991008935137495</v>
      </c>
      <c r="O87">
        <v>0.99636251541306997</v>
      </c>
      <c r="P87">
        <v>0.98832037702322595</v>
      </c>
      <c r="Q87">
        <v>1</v>
      </c>
      <c r="R87">
        <v>0.99016010673782495</v>
      </c>
      <c r="S87">
        <v>0.96810059247939595</v>
      </c>
      <c r="T87">
        <v>1</v>
      </c>
      <c r="U87">
        <v>0.97921715947649102</v>
      </c>
      <c r="V87">
        <v>0.95207536693713402</v>
      </c>
      <c r="W87">
        <v>0.99660892587451899</v>
      </c>
      <c r="X87">
        <v>0.27911111111111098</v>
      </c>
      <c r="Y87">
        <v>0.25669498972750199</v>
      </c>
      <c r="Z87">
        <v>0.30750310182552598</v>
      </c>
      <c r="AA87">
        <v>0.95546108469014202</v>
      </c>
      <c r="AB87">
        <v>0.90679445449830498</v>
      </c>
      <c r="AC87">
        <v>0.99301217415073095</v>
      </c>
      <c r="AD87">
        <v>0.98421030208258098</v>
      </c>
      <c r="AE87">
        <v>0.96553847052450203</v>
      </c>
      <c r="AF87">
        <v>0.99782159647823998</v>
      </c>
      <c r="AG87">
        <v>0.97833157427343698</v>
      </c>
      <c r="AH87">
        <v>0.94646286402952895</v>
      </c>
      <c r="AI87">
        <v>0.99663230860873997</v>
      </c>
      <c r="AJ87">
        <v>200</v>
      </c>
      <c r="AK87">
        <v>98</v>
      </c>
      <c r="AL87">
        <v>102</v>
      </c>
      <c r="AM87">
        <v>95</v>
      </c>
      <c r="AN87">
        <v>2</v>
      </c>
      <c r="AO87">
        <v>3</v>
      </c>
      <c r="AP87">
        <v>1</v>
      </c>
      <c r="AQ87">
        <v>1</v>
      </c>
      <c r="AR87">
        <v>0</v>
      </c>
      <c r="AS87">
        <v>1</v>
      </c>
      <c r="AT87">
        <v>97</v>
      </c>
      <c r="AU87">
        <v>93</v>
      </c>
      <c r="AV87">
        <v>1</v>
      </c>
      <c r="AW87">
        <v>8</v>
      </c>
      <c r="AX87">
        <v>98</v>
      </c>
      <c r="AY87">
        <v>0.91005396761942803</v>
      </c>
      <c r="AZ87">
        <v>0.84936734283992799</v>
      </c>
      <c r="BA87">
        <v>0.96</v>
      </c>
      <c r="BB87">
        <v>850</v>
      </c>
      <c r="BC87">
        <v>1293.32</v>
      </c>
      <c r="BD87">
        <v>101</v>
      </c>
      <c r="BE87">
        <v>99</v>
      </c>
      <c r="BF87">
        <v>0.87517356335566698</v>
      </c>
      <c r="BG87">
        <v>0.97788942759058195</v>
      </c>
      <c r="BH87">
        <v>0.96342425501652096</v>
      </c>
      <c r="BI87">
        <v>1</v>
      </c>
      <c r="BJ87">
        <v>0.87517356335566698</v>
      </c>
      <c r="BK87">
        <v>0.96342425501652096</v>
      </c>
      <c r="BL87">
        <v>0.991008935137495</v>
      </c>
      <c r="BM87">
        <v>1</v>
      </c>
      <c r="BN87">
        <v>1</v>
      </c>
      <c r="BO87" t="s">
        <v>84</v>
      </c>
      <c r="BP87" t="s">
        <v>85</v>
      </c>
      <c r="BQ87" t="s">
        <v>206</v>
      </c>
      <c r="BR87" t="s">
        <v>123</v>
      </c>
      <c r="BS87" t="s">
        <v>86</v>
      </c>
      <c r="BT87">
        <v>0.27900000000000003</v>
      </c>
      <c r="BU87" t="s">
        <v>217</v>
      </c>
      <c r="BV87" t="s">
        <v>122</v>
      </c>
      <c r="BW87">
        <v>0.97799999999999998</v>
      </c>
      <c r="BX87">
        <v>0.99</v>
      </c>
      <c r="BY87">
        <v>0.97899999999999998</v>
      </c>
      <c r="BZ87">
        <v>0.96699999999999997</v>
      </c>
      <c r="CA87">
        <v>0.98399999999999999</v>
      </c>
      <c r="CB87">
        <v>0.95499999999999996</v>
      </c>
      <c r="CC87">
        <v>0.91</v>
      </c>
    </row>
    <row r="88" spans="1:81" x14ac:dyDescent="0.2">
      <c r="A88" t="s">
        <v>166</v>
      </c>
      <c r="B88" t="s">
        <v>81</v>
      </c>
      <c r="C88" t="s">
        <v>206</v>
      </c>
      <c r="D88" t="s">
        <v>83</v>
      </c>
      <c r="E88" t="s">
        <v>89</v>
      </c>
      <c r="F88">
        <v>313</v>
      </c>
      <c r="G88">
        <v>1000</v>
      </c>
      <c r="H88">
        <v>0.313</v>
      </c>
      <c r="I88">
        <v>0.98180973245701397</v>
      </c>
      <c r="J88">
        <v>0.96245529996021395</v>
      </c>
      <c r="K88">
        <v>1</v>
      </c>
      <c r="L88">
        <v>0.96426941383582199</v>
      </c>
      <c r="M88">
        <v>0.92762779357222003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0.98398176025255002</v>
      </c>
      <c r="V88">
        <v>0.96807944680482905</v>
      </c>
      <c r="W88">
        <v>1</v>
      </c>
      <c r="X88">
        <v>0.313</v>
      </c>
      <c r="Y88">
        <v>0.313</v>
      </c>
      <c r="Z88">
        <v>0.313</v>
      </c>
      <c r="AA88">
        <v>0.974075723536865</v>
      </c>
      <c r="AB88">
        <v>0.94763780058357805</v>
      </c>
      <c r="AC88">
        <v>1</v>
      </c>
      <c r="AD88">
        <v>0.99162954984991403</v>
      </c>
      <c r="AE88">
        <v>0.98253756361019595</v>
      </c>
      <c r="AF88">
        <v>1</v>
      </c>
      <c r="AG88">
        <v>0.98339806536607699</v>
      </c>
      <c r="AH88">
        <v>0.96567453369633005</v>
      </c>
      <c r="AI88">
        <v>1</v>
      </c>
      <c r="AJ88">
        <v>200</v>
      </c>
      <c r="AK88">
        <v>97</v>
      </c>
      <c r="AL88">
        <v>103</v>
      </c>
      <c r="AM88">
        <v>96</v>
      </c>
      <c r="AN88">
        <v>1</v>
      </c>
      <c r="AO88">
        <v>2</v>
      </c>
      <c r="AP88">
        <v>1</v>
      </c>
      <c r="AQ88">
        <v>0</v>
      </c>
      <c r="AR88">
        <v>0</v>
      </c>
      <c r="AS88">
        <v>2</v>
      </c>
      <c r="AT88">
        <v>98</v>
      </c>
      <c r="AU88">
        <v>93</v>
      </c>
      <c r="AV88">
        <v>5</v>
      </c>
      <c r="AW88">
        <v>0</v>
      </c>
      <c r="AX88">
        <v>102</v>
      </c>
      <c r="AY88">
        <v>0.94992990186260795</v>
      </c>
      <c r="AZ88">
        <v>0.90015799877554303</v>
      </c>
      <c r="BA88">
        <v>0.98996990972918797</v>
      </c>
      <c r="BB88">
        <v>622</v>
      </c>
      <c r="BC88">
        <v>813.72</v>
      </c>
      <c r="BD88">
        <v>100</v>
      </c>
      <c r="BE88">
        <v>100</v>
      </c>
      <c r="BF88">
        <v>0.90074284328734</v>
      </c>
      <c r="BG88">
        <v>0.98899550601381203</v>
      </c>
      <c r="BH88">
        <v>0.96378330735482398</v>
      </c>
      <c r="BI88">
        <v>1</v>
      </c>
      <c r="BJ88">
        <v>0.90074284328734</v>
      </c>
      <c r="BK88">
        <v>0.96378330735482398</v>
      </c>
      <c r="BL88">
        <v>1</v>
      </c>
      <c r="BM88">
        <v>1</v>
      </c>
      <c r="BN88">
        <v>3</v>
      </c>
      <c r="BO88" t="s">
        <v>167</v>
      </c>
      <c r="BP88" t="s">
        <v>85</v>
      </c>
      <c r="BQ88" t="s">
        <v>206</v>
      </c>
      <c r="BR88" t="s">
        <v>83</v>
      </c>
      <c r="BS88" t="s">
        <v>86</v>
      </c>
      <c r="BT88">
        <v>0.313</v>
      </c>
      <c r="BU88" t="s">
        <v>218</v>
      </c>
      <c r="BV88" t="s">
        <v>213</v>
      </c>
      <c r="BW88">
        <v>0.98299999999999998</v>
      </c>
      <c r="BX88">
        <v>1</v>
      </c>
      <c r="BY88">
        <v>0.98399999999999999</v>
      </c>
      <c r="BZ88">
        <v>0.98199999999999998</v>
      </c>
      <c r="CA88">
        <v>0.99199999999999999</v>
      </c>
      <c r="CB88">
        <v>0.97399999999999998</v>
      </c>
      <c r="CC88">
        <v>0.95</v>
      </c>
    </row>
    <row r="89" spans="1:81" x14ac:dyDescent="0.2">
      <c r="A89" t="s">
        <v>166</v>
      </c>
      <c r="B89" t="s">
        <v>81</v>
      </c>
      <c r="C89" t="s">
        <v>206</v>
      </c>
      <c r="D89" t="s">
        <v>89</v>
      </c>
      <c r="E89" t="s">
        <v>89</v>
      </c>
      <c r="F89">
        <v>310</v>
      </c>
      <c r="G89">
        <v>1000</v>
      </c>
      <c r="H89">
        <v>0.31</v>
      </c>
      <c r="I89">
        <v>0.968592351505289</v>
      </c>
      <c r="J89">
        <v>0.93670032047420504</v>
      </c>
      <c r="K89">
        <v>0.99476439790575899</v>
      </c>
      <c r="L89">
        <v>0.96</v>
      </c>
      <c r="M89">
        <v>0.91743119266054995</v>
      </c>
      <c r="N89">
        <v>0.99074074074074103</v>
      </c>
      <c r="O89">
        <v>0.99</v>
      </c>
      <c r="P89">
        <v>0.96808510638297895</v>
      </c>
      <c r="Q89">
        <v>1</v>
      </c>
      <c r="R89">
        <v>0.97733990147783201</v>
      </c>
      <c r="S89">
        <v>0.93061949812809897</v>
      </c>
      <c r="T89">
        <v>1</v>
      </c>
      <c r="U89">
        <v>0.98217109992810903</v>
      </c>
      <c r="V89">
        <v>0.96384122203149702</v>
      </c>
      <c r="W89">
        <v>0.99581194271818396</v>
      </c>
      <c r="X89">
        <v>0.31</v>
      </c>
      <c r="Y89">
        <v>0.31</v>
      </c>
      <c r="Z89">
        <v>0.31</v>
      </c>
      <c r="AA89">
        <v>0.95474365739482403</v>
      </c>
      <c r="AB89">
        <v>0.908276499644184</v>
      </c>
      <c r="AC89">
        <v>0.99245841423304404</v>
      </c>
      <c r="AD89">
        <v>0.97968088070472203</v>
      </c>
      <c r="AE89">
        <v>0.95337449669375196</v>
      </c>
      <c r="AF89">
        <v>0.99764097100677296</v>
      </c>
      <c r="AG89">
        <v>0.98203310134658295</v>
      </c>
      <c r="AH89">
        <v>0.96187659537513603</v>
      </c>
      <c r="AI89">
        <v>0.99589824788528802</v>
      </c>
      <c r="AJ89">
        <v>200</v>
      </c>
      <c r="AK89">
        <v>97</v>
      </c>
      <c r="AL89">
        <v>103</v>
      </c>
      <c r="AM89">
        <v>96</v>
      </c>
      <c r="AN89">
        <v>0</v>
      </c>
      <c r="AO89">
        <v>4</v>
      </c>
      <c r="AP89">
        <v>0</v>
      </c>
      <c r="AQ89">
        <v>0</v>
      </c>
      <c r="AR89">
        <v>1</v>
      </c>
      <c r="AS89">
        <v>0</v>
      </c>
      <c r="AT89">
        <v>99</v>
      </c>
      <c r="AU89">
        <v>93</v>
      </c>
      <c r="AV89">
        <v>5</v>
      </c>
      <c r="AW89">
        <v>0</v>
      </c>
      <c r="AX89">
        <v>102</v>
      </c>
      <c r="AY89">
        <v>0.94992990186260795</v>
      </c>
      <c r="AZ89">
        <v>0.90020955992415896</v>
      </c>
      <c r="BA89">
        <v>0.98995782285599498</v>
      </c>
      <c r="BB89">
        <v>622</v>
      </c>
      <c r="BC89">
        <v>813.72</v>
      </c>
      <c r="BD89">
        <v>100</v>
      </c>
      <c r="BE89">
        <v>100</v>
      </c>
      <c r="BF89">
        <v>0.90074284328734</v>
      </c>
      <c r="BG89">
        <v>0.98899550601381203</v>
      </c>
      <c r="BH89">
        <v>0.94554061460791905</v>
      </c>
      <c r="BI89">
        <v>0.99974685396702301</v>
      </c>
      <c r="BJ89">
        <v>0.90074284328734</v>
      </c>
      <c r="BK89">
        <v>0.94554061460791905</v>
      </c>
      <c r="BL89">
        <v>0.99074074074074103</v>
      </c>
      <c r="BM89">
        <v>1</v>
      </c>
      <c r="BN89">
        <v>3</v>
      </c>
      <c r="BO89" t="s">
        <v>167</v>
      </c>
      <c r="BP89" t="s">
        <v>85</v>
      </c>
      <c r="BQ89" t="s">
        <v>206</v>
      </c>
      <c r="BR89" t="s">
        <v>89</v>
      </c>
      <c r="BS89" t="s">
        <v>86</v>
      </c>
      <c r="BT89">
        <v>0.31</v>
      </c>
      <c r="BU89" t="s">
        <v>209</v>
      </c>
      <c r="BV89" t="s">
        <v>186</v>
      </c>
      <c r="BW89">
        <v>0.98199999999999998</v>
      </c>
      <c r="BX89">
        <v>0.97699999999999998</v>
      </c>
      <c r="BY89">
        <v>0.98199999999999998</v>
      </c>
      <c r="BZ89">
        <v>0.96899999999999997</v>
      </c>
      <c r="CA89">
        <v>0.98</v>
      </c>
      <c r="CB89">
        <v>0.95499999999999996</v>
      </c>
      <c r="CC89">
        <v>0.95</v>
      </c>
    </row>
    <row r="90" spans="1:81" x14ac:dyDescent="0.2">
      <c r="A90" t="s">
        <v>166</v>
      </c>
      <c r="B90" t="s">
        <v>81</v>
      </c>
      <c r="C90" t="s">
        <v>206</v>
      </c>
      <c r="D90" t="s">
        <v>106</v>
      </c>
      <c r="E90" t="s">
        <v>89</v>
      </c>
      <c r="F90">
        <v>320</v>
      </c>
      <c r="G90">
        <v>1000</v>
      </c>
      <c r="H90">
        <v>0.32</v>
      </c>
      <c r="I90">
        <v>0.96670864412799895</v>
      </c>
      <c r="J90">
        <v>0.93828798938288005</v>
      </c>
      <c r="K90">
        <v>0.99492420980663798</v>
      </c>
      <c r="L90">
        <v>0.93556249999999996</v>
      </c>
      <c r="M90">
        <v>0.88375000000000004</v>
      </c>
      <c r="N90">
        <v>0.98989968669406803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0.97056892466672395</v>
      </c>
      <c r="V90">
        <v>0.94813162297824904</v>
      </c>
      <c r="W90">
        <v>0.99526939636786205</v>
      </c>
      <c r="X90">
        <v>0.32</v>
      </c>
      <c r="Y90">
        <v>0.32</v>
      </c>
      <c r="Z90">
        <v>0.32</v>
      </c>
      <c r="AA90">
        <v>0.95290497405749297</v>
      </c>
      <c r="AB90">
        <v>0.91537496240995497</v>
      </c>
      <c r="AC90">
        <v>0.992580910374248</v>
      </c>
      <c r="AD90">
        <v>0.98405240586704401</v>
      </c>
      <c r="AE90">
        <v>0.96997820999112305</v>
      </c>
      <c r="AF90">
        <v>0.99760495692984597</v>
      </c>
      <c r="AG90">
        <v>0.96860547881592995</v>
      </c>
      <c r="AH90">
        <v>0.94170649533808704</v>
      </c>
      <c r="AI90">
        <v>0.99522135891306496</v>
      </c>
      <c r="AJ90">
        <v>200</v>
      </c>
      <c r="AK90">
        <v>97</v>
      </c>
      <c r="AL90">
        <v>103</v>
      </c>
      <c r="AM90">
        <v>96</v>
      </c>
      <c r="AN90">
        <v>1</v>
      </c>
      <c r="AO90">
        <v>4</v>
      </c>
      <c r="AP90">
        <v>1</v>
      </c>
      <c r="AQ90">
        <v>0</v>
      </c>
      <c r="AR90">
        <v>0</v>
      </c>
      <c r="AS90">
        <v>0</v>
      </c>
      <c r="AT90">
        <v>98</v>
      </c>
      <c r="AU90">
        <v>93</v>
      </c>
      <c r="AV90">
        <v>5</v>
      </c>
      <c r="AW90">
        <v>0</v>
      </c>
      <c r="AX90">
        <v>102</v>
      </c>
      <c r="AY90">
        <v>0.94992990186260795</v>
      </c>
      <c r="AZ90">
        <v>0.90015974440894597</v>
      </c>
      <c r="BA90">
        <v>0.98995782285599498</v>
      </c>
      <c r="BB90">
        <v>622</v>
      </c>
      <c r="BC90">
        <v>813.72</v>
      </c>
      <c r="BD90">
        <v>102</v>
      </c>
      <c r="BE90">
        <v>98</v>
      </c>
      <c r="BF90">
        <v>0.86370300281928003</v>
      </c>
      <c r="BG90">
        <v>0.97196473537661399</v>
      </c>
      <c r="BH90">
        <v>0.96305801296480698</v>
      </c>
      <c r="BI90">
        <v>1</v>
      </c>
      <c r="BJ90">
        <v>0.86370300281928003</v>
      </c>
      <c r="BK90">
        <v>0.96305801296480698</v>
      </c>
      <c r="BL90">
        <v>0.98989968669406803</v>
      </c>
      <c r="BM90">
        <v>1</v>
      </c>
      <c r="BN90">
        <v>3</v>
      </c>
      <c r="BO90" t="s">
        <v>167</v>
      </c>
      <c r="BP90" t="s">
        <v>85</v>
      </c>
      <c r="BQ90" t="s">
        <v>206</v>
      </c>
      <c r="BR90" t="s">
        <v>106</v>
      </c>
      <c r="BS90" t="s">
        <v>86</v>
      </c>
      <c r="BT90">
        <v>0.32</v>
      </c>
      <c r="BU90" t="s">
        <v>219</v>
      </c>
      <c r="BV90" t="s">
        <v>213</v>
      </c>
      <c r="BW90">
        <v>0.96899999999999997</v>
      </c>
      <c r="BX90">
        <v>1</v>
      </c>
      <c r="BY90">
        <v>0.97099999999999997</v>
      </c>
      <c r="BZ90">
        <v>0.96699999999999997</v>
      </c>
      <c r="CA90">
        <v>0.98399999999999999</v>
      </c>
      <c r="CB90">
        <v>0.95299999999999996</v>
      </c>
      <c r="CC90">
        <v>0.95</v>
      </c>
    </row>
    <row r="91" spans="1:81" x14ac:dyDescent="0.2">
      <c r="A91" t="s">
        <v>166</v>
      </c>
      <c r="B91" t="s">
        <v>81</v>
      </c>
      <c r="C91" t="s">
        <v>206</v>
      </c>
      <c r="D91" t="s">
        <v>108</v>
      </c>
      <c r="E91" t="s">
        <v>89</v>
      </c>
      <c r="F91">
        <v>303</v>
      </c>
      <c r="G91">
        <v>1000</v>
      </c>
      <c r="H91">
        <v>0.30299999999999999</v>
      </c>
      <c r="I91">
        <v>0.97843527049254797</v>
      </c>
      <c r="J91">
        <v>0.94937558748489304</v>
      </c>
      <c r="K91">
        <v>1</v>
      </c>
      <c r="L91">
        <v>0.97959183673469397</v>
      </c>
      <c r="M91">
        <v>0.94736842105263197</v>
      </c>
      <c r="N91">
        <v>1</v>
      </c>
      <c r="O91">
        <v>0.99010043041606899</v>
      </c>
      <c r="P91">
        <v>0.967718794835007</v>
      </c>
      <c r="Q91">
        <v>1</v>
      </c>
      <c r="R91">
        <v>0.97728143205595996</v>
      </c>
      <c r="S91">
        <v>0.92961521625480104</v>
      </c>
      <c r="T91">
        <v>1</v>
      </c>
      <c r="U91">
        <v>0.991119031358905</v>
      </c>
      <c r="V91">
        <v>0.97742155026623601</v>
      </c>
      <c r="W91">
        <v>1</v>
      </c>
      <c r="X91">
        <v>0.30299999999999999</v>
      </c>
      <c r="Y91">
        <v>0.30299999999999999</v>
      </c>
      <c r="Z91">
        <v>0.30299999999999999</v>
      </c>
      <c r="AA91">
        <v>0.96904615002517303</v>
      </c>
      <c r="AB91">
        <v>0.92762621723565397</v>
      </c>
      <c r="AC91">
        <v>1</v>
      </c>
      <c r="AD91">
        <v>0.98420468768205904</v>
      </c>
      <c r="AE91">
        <v>0.95774611046741598</v>
      </c>
      <c r="AF91">
        <v>1</v>
      </c>
      <c r="AG91">
        <v>0.99122673459910304</v>
      </c>
      <c r="AH91">
        <v>0.97695394668741498</v>
      </c>
      <c r="AI91">
        <v>1</v>
      </c>
      <c r="AJ91">
        <v>200</v>
      </c>
      <c r="AK91">
        <v>97</v>
      </c>
      <c r="AL91">
        <v>103</v>
      </c>
      <c r="AM91">
        <v>96</v>
      </c>
      <c r="AN91">
        <v>0</v>
      </c>
      <c r="AO91">
        <v>2</v>
      </c>
      <c r="AP91">
        <v>0</v>
      </c>
      <c r="AQ91">
        <v>0</v>
      </c>
      <c r="AR91">
        <v>1</v>
      </c>
      <c r="AS91">
        <v>2</v>
      </c>
      <c r="AT91">
        <v>99</v>
      </c>
      <c r="AU91">
        <v>93</v>
      </c>
      <c r="AV91">
        <v>5</v>
      </c>
      <c r="AW91">
        <v>0</v>
      </c>
      <c r="AX91">
        <v>102</v>
      </c>
      <c r="AY91">
        <v>0.94992990186260795</v>
      </c>
      <c r="AZ91">
        <v>0.90015974440894597</v>
      </c>
      <c r="BA91">
        <v>0.98990964002371096</v>
      </c>
      <c r="BB91">
        <v>622</v>
      </c>
      <c r="BC91">
        <v>813.72</v>
      </c>
      <c r="BD91">
        <v>98</v>
      </c>
      <c r="BE91">
        <v>102</v>
      </c>
      <c r="BF91">
        <v>0.928217942829897</v>
      </c>
      <c r="BG91">
        <v>0.99751885012126695</v>
      </c>
      <c r="BH91">
        <v>0.946584589602814</v>
      </c>
      <c r="BI91">
        <v>0.99975181699872995</v>
      </c>
      <c r="BJ91">
        <v>0.928217942829897</v>
      </c>
      <c r="BK91">
        <v>0.946584589602814</v>
      </c>
      <c r="BL91">
        <v>1</v>
      </c>
      <c r="BM91">
        <v>1</v>
      </c>
      <c r="BN91">
        <v>3</v>
      </c>
      <c r="BO91" t="s">
        <v>167</v>
      </c>
      <c r="BP91" t="s">
        <v>85</v>
      </c>
      <c r="BQ91" t="s">
        <v>206</v>
      </c>
      <c r="BR91" t="s">
        <v>108</v>
      </c>
      <c r="BS91" t="s">
        <v>86</v>
      </c>
      <c r="BT91">
        <v>0.30299999999999999</v>
      </c>
      <c r="BU91" t="s">
        <v>200</v>
      </c>
      <c r="BV91" t="s">
        <v>186</v>
      </c>
      <c r="BW91">
        <v>0.99099999999999999</v>
      </c>
      <c r="BX91">
        <v>0.97699999999999998</v>
      </c>
      <c r="BY91">
        <v>0.99099999999999999</v>
      </c>
      <c r="BZ91">
        <v>0.97799999999999998</v>
      </c>
      <c r="CA91">
        <v>0.98399999999999999</v>
      </c>
      <c r="CB91">
        <v>0.96899999999999997</v>
      </c>
      <c r="CC91">
        <v>0.95</v>
      </c>
    </row>
    <row r="92" spans="1:81" x14ac:dyDescent="0.2">
      <c r="A92" t="s">
        <v>166</v>
      </c>
      <c r="B92" t="s">
        <v>81</v>
      </c>
      <c r="C92" t="s">
        <v>206</v>
      </c>
      <c r="D92" t="s">
        <v>120</v>
      </c>
      <c r="E92" t="s">
        <v>89</v>
      </c>
      <c r="F92" t="s">
        <v>93</v>
      </c>
      <c r="G92" t="s">
        <v>93</v>
      </c>
      <c r="H92">
        <v>0.30759999999999998</v>
      </c>
      <c r="I92">
        <v>0.99493546806077404</v>
      </c>
      <c r="J92">
        <v>0.98314326147770303</v>
      </c>
      <c r="K92">
        <v>1</v>
      </c>
      <c r="L92">
        <v>0.98992197659297798</v>
      </c>
      <c r="M92">
        <v>0.96684540177207501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0.99554277498202703</v>
      </c>
      <c r="V92">
        <v>0.98550547975784997</v>
      </c>
      <c r="W92">
        <v>1</v>
      </c>
      <c r="X92">
        <v>0.30759999999999998</v>
      </c>
      <c r="Y92">
        <v>0.29176470588235298</v>
      </c>
      <c r="Z92">
        <v>0.32641568215905598</v>
      </c>
      <c r="AA92">
        <v>0.99272839769650301</v>
      </c>
      <c r="AB92">
        <v>0.97612684731327604</v>
      </c>
      <c r="AC92">
        <v>1</v>
      </c>
      <c r="AD92">
        <v>0.99774372164686098</v>
      </c>
      <c r="AE92">
        <v>0.99245788444480298</v>
      </c>
      <c r="AF92">
        <v>1</v>
      </c>
      <c r="AG92">
        <v>0.99549760195696302</v>
      </c>
      <c r="AH92">
        <v>0.98502868428458601</v>
      </c>
      <c r="AI92">
        <v>1</v>
      </c>
      <c r="AJ92">
        <v>200</v>
      </c>
      <c r="AK92">
        <v>97</v>
      </c>
      <c r="AL92">
        <v>103</v>
      </c>
      <c r="AM92">
        <v>96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3</v>
      </c>
      <c r="AT92">
        <v>99</v>
      </c>
      <c r="AU92">
        <v>93</v>
      </c>
      <c r="AV92">
        <v>5</v>
      </c>
      <c r="AW92">
        <v>0</v>
      </c>
      <c r="AX92">
        <v>102</v>
      </c>
      <c r="AY92">
        <v>0.94992990186260795</v>
      </c>
      <c r="AZ92">
        <v>0.9</v>
      </c>
      <c r="BA92">
        <v>0.98992747784045099</v>
      </c>
      <c r="BB92">
        <v>622</v>
      </c>
      <c r="BC92">
        <v>813.72</v>
      </c>
      <c r="BD92">
        <v>98</v>
      </c>
      <c r="BE92">
        <v>102</v>
      </c>
      <c r="BF92">
        <v>0.94445502833668604</v>
      </c>
      <c r="BG92">
        <v>0.99974168838875899</v>
      </c>
      <c r="BH92">
        <v>0.96448067334211596</v>
      </c>
      <c r="BI92">
        <v>1</v>
      </c>
      <c r="BJ92">
        <v>0.94445502833668604</v>
      </c>
      <c r="BK92">
        <v>0.96448067334211596</v>
      </c>
      <c r="BL92">
        <v>1</v>
      </c>
      <c r="BM92">
        <v>1</v>
      </c>
      <c r="BN92">
        <v>3</v>
      </c>
      <c r="BO92" t="s">
        <v>167</v>
      </c>
      <c r="BP92" t="s">
        <v>85</v>
      </c>
      <c r="BQ92" t="s">
        <v>206</v>
      </c>
      <c r="BR92" t="s">
        <v>120</v>
      </c>
      <c r="BS92" t="s">
        <v>86</v>
      </c>
      <c r="BT92">
        <v>0.308</v>
      </c>
      <c r="BU92" t="s">
        <v>211</v>
      </c>
      <c r="BV92" t="s">
        <v>213</v>
      </c>
      <c r="BW92">
        <v>0.995</v>
      </c>
      <c r="BX92">
        <v>1</v>
      </c>
      <c r="BY92">
        <v>0.996</v>
      </c>
      <c r="BZ92">
        <v>0.995</v>
      </c>
      <c r="CA92">
        <v>0.998</v>
      </c>
      <c r="CB92">
        <v>0.99299999999999999</v>
      </c>
      <c r="CC92">
        <v>0.95</v>
      </c>
    </row>
    <row r="93" spans="1:81" x14ac:dyDescent="0.2">
      <c r="A93" t="s">
        <v>166</v>
      </c>
      <c r="B93" t="s">
        <v>81</v>
      </c>
      <c r="C93" t="s">
        <v>206</v>
      </c>
      <c r="D93" t="s">
        <v>123</v>
      </c>
      <c r="E93" t="s">
        <v>89</v>
      </c>
      <c r="F93" t="s">
        <v>93</v>
      </c>
      <c r="G93" t="s">
        <v>93</v>
      </c>
      <c r="H93">
        <v>0.29210000000000003</v>
      </c>
      <c r="I93">
        <v>0.97921555481059297</v>
      </c>
      <c r="J93">
        <v>0.956153066694308</v>
      </c>
      <c r="K93">
        <v>0.99526066350710896</v>
      </c>
      <c r="L93">
        <v>1</v>
      </c>
      <c r="M93">
        <v>1</v>
      </c>
      <c r="N93">
        <v>1</v>
      </c>
      <c r="O93">
        <v>0.98248340161039704</v>
      </c>
      <c r="P93">
        <v>0.96485334176304505</v>
      </c>
      <c r="Q93">
        <v>0.99587806929364098</v>
      </c>
      <c r="R93">
        <v>0.95927750410509005</v>
      </c>
      <c r="S93">
        <v>0.915989726270518</v>
      </c>
      <c r="T93">
        <v>0.99056603773584895</v>
      </c>
      <c r="U93">
        <v>1</v>
      </c>
      <c r="V93">
        <v>1</v>
      </c>
      <c r="W93">
        <v>1</v>
      </c>
      <c r="X93">
        <v>0.29210000000000003</v>
      </c>
      <c r="Y93">
        <v>0.27084116757410798</v>
      </c>
      <c r="Z93">
        <v>0.31358173076923102</v>
      </c>
      <c r="AA93">
        <v>0.970811117221831</v>
      </c>
      <c r="AB93">
        <v>0.94028001958555196</v>
      </c>
      <c r="AC93">
        <v>0.99319694925725399</v>
      </c>
      <c r="AD93">
        <v>0.97921555481059297</v>
      </c>
      <c r="AE93">
        <v>0.956153066694308</v>
      </c>
      <c r="AF93">
        <v>0.99526066350710896</v>
      </c>
      <c r="AG93">
        <v>1</v>
      </c>
      <c r="AH93">
        <v>1</v>
      </c>
      <c r="AI93">
        <v>1</v>
      </c>
      <c r="AJ93">
        <v>200</v>
      </c>
      <c r="AK93">
        <v>97</v>
      </c>
      <c r="AL93">
        <v>103</v>
      </c>
      <c r="AM93">
        <v>92</v>
      </c>
      <c r="AN93">
        <v>1</v>
      </c>
      <c r="AO93">
        <v>0</v>
      </c>
      <c r="AP93">
        <v>0</v>
      </c>
      <c r="AQ93">
        <v>4</v>
      </c>
      <c r="AR93">
        <v>0</v>
      </c>
      <c r="AS93">
        <v>4</v>
      </c>
      <c r="AT93">
        <v>99</v>
      </c>
      <c r="AU93">
        <v>93</v>
      </c>
      <c r="AV93">
        <v>5</v>
      </c>
      <c r="AW93">
        <v>0</v>
      </c>
      <c r="AX93">
        <v>102</v>
      </c>
      <c r="AY93">
        <v>0.94992990186260795</v>
      </c>
      <c r="AZ93">
        <v>0.90015974440894597</v>
      </c>
      <c r="BA93">
        <v>0.98995782285599498</v>
      </c>
      <c r="BB93">
        <v>622</v>
      </c>
      <c r="BC93">
        <v>813.72</v>
      </c>
      <c r="BD93">
        <v>93</v>
      </c>
      <c r="BE93">
        <v>107</v>
      </c>
      <c r="BF93">
        <v>0.96111100146572404</v>
      </c>
      <c r="BG93">
        <v>1</v>
      </c>
      <c r="BH93">
        <v>0.93410810300756697</v>
      </c>
      <c r="BI93">
        <v>0.99772829162958498</v>
      </c>
      <c r="BJ93">
        <v>0.96111100146572404</v>
      </c>
      <c r="BK93">
        <v>0.93410810300756697</v>
      </c>
      <c r="BL93">
        <v>1</v>
      </c>
      <c r="BM93">
        <v>0.99772829162958498</v>
      </c>
      <c r="BN93">
        <v>3</v>
      </c>
      <c r="BO93" t="s">
        <v>167</v>
      </c>
      <c r="BP93" t="s">
        <v>85</v>
      </c>
      <c r="BQ93" t="s">
        <v>206</v>
      </c>
      <c r="BR93" t="s">
        <v>123</v>
      </c>
      <c r="BS93" t="s">
        <v>86</v>
      </c>
      <c r="BT93">
        <v>0.29199999999999998</v>
      </c>
      <c r="BU93" t="s">
        <v>213</v>
      </c>
      <c r="BV93" t="s">
        <v>220</v>
      </c>
      <c r="BW93">
        <v>1</v>
      </c>
      <c r="BX93">
        <v>0.95899999999999996</v>
      </c>
      <c r="BY93">
        <v>1</v>
      </c>
      <c r="BZ93">
        <v>0.97899999999999998</v>
      </c>
      <c r="CA93">
        <v>0.97899999999999998</v>
      </c>
      <c r="CB93">
        <v>0.97099999999999997</v>
      </c>
      <c r="CC93">
        <v>0.95</v>
      </c>
    </row>
    <row r="94" spans="1:81" x14ac:dyDescent="0.2">
      <c r="A94" t="s">
        <v>139</v>
      </c>
      <c r="B94" t="s">
        <v>81</v>
      </c>
      <c r="C94" t="s">
        <v>206</v>
      </c>
      <c r="D94" t="s">
        <v>83</v>
      </c>
      <c r="E94" t="s">
        <v>89</v>
      </c>
      <c r="F94">
        <v>2024</v>
      </c>
      <c r="G94">
        <v>65453</v>
      </c>
      <c r="H94">
        <v>3.0922952347485998E-2</v>
      </c>
      <c r="I94">
        <v>0.67400111188879597</v>
      </c>
      <c r="J94">
        <v>0.622789759913014</v>
      </c>
      <c r="K94">
        <v>0.88412472021255595</v>
      </c>
      <c r="L94">
        <v>0.52584045220791398</v>
      </c>
      <c r="M94">
        <v>0.46839067553000402</v>
      </c>
      <c r="N94">
        <v>0.81818181818181801</v>
      </c>
      <c r="O94">
        <v>0.99889865609016204</v>
      </c>
      <c r="P94">
        <v>0.99785849795309201</v>
      </c>
      <c r="Q94">
        <v>1</v>
      </c>
      <c r="R94">
        <v>0.93840617495805001</v>
      </c>
      <c r="S94">
        <v>0.889443223443384</v>
      </c>
      <c r="T94">
        <v>1</v>
      </c>
      <c r="U94">
        <v>0.98507903907869099</v>
      </c>
      <c r="V94">
        <v>0.98330831372257499</v>
      </c>
      <c r="W94">
        <v>0.99422232936286603</v>
      </c>
      <c r="X94">
        <v>3.0922952347485998E-2</v>
      </c>
      <c r="Y94">
        <v>3.0922952347485998E-2</v>
      </c>
      <c r="Z94">
        <v>3.0922952347485998E-2</v>
      </c>
      <c r="AA94">
        <v>0.69612413242186699</v>
      </c>
      <c r="AB94">
        <v>0.64977721037205904</v>
      </c>
      <c r="AC94">
        <v>0.88419442490620104</v>
      </c>
      <c r="AD94">
        <v>0.95573152176006804</v>
      </c>
      <c r="AE94">
        <v>0.92921582006890002</v>
      </c>
      <c r="AF94">
        <v>0.98808428936280901</v>
      </c>
      <c r="AG94">
        <v>0.97370864120273803</v>
      </c>
      <c r="AH94">
        <v>0.96711767304482699</v>
      </c>
      <c r="AI94">
        <v>0.99327385939322499</v>
      </c>
      <c r="AJ94">
        <v>200</v>
      </c>
      <c r="AK94">
        <v>73</v>
      </c>
      <c r="AL94">
        <v>127</v>
      </c>
      <c r="AM94">
        <v>70</v>
      </c>
      <c r="AN94">
        <v>0</v>
      </c>
      <c r="AO94">
        <v>23</v>
      </c>
      <c r="AP94">
        <v>1</v>
      </c>
      <c r="AQ94">
        <v>3</v>
      </c>
      <c r="AR94">
        <v>0</v>
      </c>
      <c r="AS94">
        <v>4</v>
      </c>
      <c r="AT94">
        <v>99</v>
      </c>
      <c r="AU94">
        <v>68</v>
      </c>
      <c r="AV94">
        <v>17</v>
      </c>
      <c r="AW94">
        <v>4</v>
      </c>
      <c r="AX94">
        <v>111</v>
      </c>
      <c r="AY94">
        <v>0.78079331941544905</v>
      </c>
      <c r="AZ94">
        <v>0.68569931901519099</v>
      </c>
      <c r="BA94">
        <v>0.86556637694465</v>
      </c>
      <c r="BB94">
        <v>856</v>
      </c>
      <c r="BC94">
        <v>1004.34</v>
      </c>
      <c r="BD94">
        <v>94</v>
      </c>
      <c r="BE94">
        <v>106</v>
      </c>
      <c r="BF94">
        <v>0.41573235264639002</v>
      </c>
      <c r="BG94">
        <v>0.62544371038651903</v>
      </c>
      <c r="BH94">
        <v>0.96579783272365005</v>
      </c>
      <c r="BI94">
        <v>1</v>
      </c>
      <c r="BJ94">
        <v>0.41573235264639002</v>
      </c>
      <c r="BK94">
        <v>0.96579783272365005</v>
      </c>
      <c r="BL94">
        <v>0.81818181818181801</v>
      </c>
      <c r="BM94">
        <v>1</v>
      </c>
      <c r="BN94">
        <v>4</v>
      </c>
      <c r="BO94" t="s">
        <v>140</v>
      </c>
      <c r="BP94" t="s">
        <v>85</v>
      </c>
      <c r="BQ94" t="s">
        <v>206</v>
      </c>
      <c r="BR94" t="s">
        <v>83</v>
      </c>
      <c r="BS94" t="s">
        <v>86</v>
      </c>
      <c r="BT94">
        <v>3.1E-2</v>
      </c>
      <c r="BU94" t="s">
        <v>221</v>
      </c>
      <c r="BV94" t="s">
        <v>222</v>
      </c>
      <c r="BW94">
        <v>0.97399999999999998</v>
      </c>
      <c r="BX94">
        <v>0.93799999999999994</v>
      </c>
      <c r="BY94">
        <v>0.98499999999999999</v>
      </c>
      <c r="BZ94">
        <v>0.67400000000000004</v>
      </c>
      <c r="CA94">
        <v>0.95599999999999996</v>
      </c>
      <c r="CB94">
        <v>0.69599999999999995</v>
      </c>
      <c r="CC94">
        <v>0.78100000000000003</v>
      </c>
    </row>
    <row r="95" spans="1:81" x14ac:dyDescent="0.2">
      <c r="A95" t="s">
        <v>139</v>
      </c>
      <c r="B95" t="s">
        <v>81</v>
      </c>
      <c r="C95" t="s">
        <v>206</v>
      </c>
      <c r="D95" t="s">
        <v>89</v>
      </c>
      <c r="E95" t="s">
        <v>89</v>
      </c>
      <c r="F95">
        <v>1577</v>
      </c>
      <c r="G95">
        <v>65453</v>
      </c>
      <c r="H95">
        <v>2.40936244327991E-2</v>
      </c>
      <c r="I95">
        <v>0.84393063583814998</v>
      </c>
      <c r="J95">
        <v>0.78260869565217395</v>
      </c>
      <c r="K95">
        <v>0.89796529390199198</v>
      </c>
      <c r="L95">
        <v>0.73</v>
      </c>
      <c r="M95">
        <v>0.64285714285714302</v>
      </c>
      <c r="N95">
        <v>0.81482487922705304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0.99337825587747997</v>
      </c>
      <c r="V95">
        <v>0.991259758642974</v>
      </c>
      <c r="W95">
        <v>0.99544911686533799</v>
      </c>
      <c r="X95">
        <v>2.40936244327991E-2</v>
      </c>
      <c r="Y95">
        <v>2.40936244327991E-2</v>
      </c>
      <c r="Z95">
        <v>2.40936244327991E-2</v>
      </c>
      <c r="AA95">
        <v>0.85156686571904605</v>
      </c>
      <c r="AB95">
        <v>0.798272144240599</v>
      </c>
      <c r="AC95">
        <v>0.900620178137303</v>
      </c>
      <c r="AD95">
        <v>0.99545507673340605</v>
      </c>
      <c r="AE95">
        <v>0.99318880528103004</v>
      </c>
      <c r="AF95">
        <v>0.99720252814597898</v>
      </c>
      <c r="AG95">
        <v>0.99095127920847104</v>
      </c>
      <c r="AH95">
        <v>0.98646976760946403</v>
      </c>
      <c r="AI95">
        <v>0.994420664329143</v>
      </c>
      <c r="AJ95">
        <v>200</v>
      </c>
      <c r="AK95">
        <v>73</v>
      </c>
      <c r="AL95">
        <v>127</v>
      </c>
      <c r="AM95">
        <v>73</v>
      </c>
      <c r="AN95">
        <v>0</v>
      </c>
      <c r="AO95">
        <v>27</v>
      </c>
      <c r="AP95">
        <v>0</v>
      </c>
      <c r="AQ95">
        <v>0</v>
      </c>
      <c r="AR95">
        <v>0</v>
      </c>
      <c r="AS95">
        <v>0</v>
      </c>
      <c r="AT95">
        <v>100</v>
      </c>
      <c r="AU95">
        <v>68</v>
      </c>
      <c r="AV95">
        <v>17</v>
      </c>
      <c r="AW95">
        <v>4</v>
      </c>
      <c r="AX95">
        <v>111</v>
      </c>
      <c r="AY95">
        <v>0.78079331941544905</v>
      </c>
      <c r="AZ95">
        <v>0.689972204404533</v>
      </c>
      <c r="BA95">
        <v>0.86631427987643805</v>
      </c>
      <c r="BB95">
        <v>856</v>
      </c>
      <c r="BC95">
        <v>1004.34</v>
      </c>
      <c r="BD95">
        <v>100</v>
      </c>
      <c r="BE95">
        <v>100</v>
      </c>
      <c r="BF95">
        <v>0.63198372709102502</v>
      </c>
      <c r="BG95">
        <v>0.813933577709259</v>
      </c>
      <c r="BH95">
        <v>0.96378330735482398</v>
      </c>
      <c r="BI95">
        <v>1</v>
      </c>
      <c r="BJ95">
        <v>0.63198372709102502</v>
      </c>
      <c r="BK95">
        <v>0.96378330735482398</v>
      </c>
      <c r="BL95">
        <v>0.81482487922705304</v>
      </c>
      <c r="BM95">
        <v>1</v>
      </c>
      <c r="BN95">
        <v>4</v>
      </c>
      <c r="BO95" t="s">
        <v>140</v>
      </c>
      <c r="BP95" t="s">
        <v>85</v>
      </c>
      <c r="BQ95" t="s">
        <v>206</v>
      </c>
      <c r="BR95" t="s">
        <v>89</v>
      </c>
      <c r="BS95" t="s">
        <v>86</v>
      </c>
      <c r="BT95">
        <v>2.4E-2</v>
      </c>
      <c r="BU95" t="s">
        <v>223</v>
      </c>
      <c r="BV95" t="s">
        <v>213</v>
      </c>
      <c r="BW95">
        <v>0.99099999999999999</v>
      </c>
      <c r="BX95">
        <v>1</v>
      </c>
      <c r="BY95">
        <v>0.99299999999999999</v>
      </c>
      <c r="BZ95">
        <v>0.84399999999999997</v>
      </c>
      <c r="CA95">
        <v>0.995</v>
      </c>
      <c r="CB95">
        <v>0.85199999999999998</v>
      </c>
      <c r="CC95">
        <v>0.78100000000000003</v>
      </c>
    </row>
    <row r="96" spans="1:81" x14ac:dyDescent="0.2">
      <c r="A96" t="s">
        <v>139</v>
      </c>
      <c r="B96" t="s">
        <v>81</v>
      </c>
      <c r="C96" t="s">
        <v>206</v>
      </c>
      <c r="D96" t="s">
        <v>106</v>
      </c>
      <c r="E96" t="s">
        <v>89</v>
      </c>
      <c r="F96">
        <v>2187</v>
      </c>
      <c r="G96">
        <v>65453</v>
      </c>
      <c r="H96">
        <v>3.3413288924877403E-2</v>
      </c>
      <c r="I96">
        <v>0.64128577730009095</v>
      </c>
      <c r="J96">
        <v>0.58991523334534401</v>
      </c>
      <c r="K96">
        <v>0.88541666666666696</v>
      </c>
      <c r="L96">
        <v>0.47197988111568401</v>
      </c>
      <c r="M96">
        <v>0.41835444740310401</v>
      </c>
      <c r="N96">
        <v>0.79439252336448596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0.98207441760251901</v>
      </c>
      <c r="V96">
        <v>0.98028978796824895</v>
      </c>
      <c r="W96">
        <v>0.992942652931188</v>
      </c>
      <c r="X96">
        <v>3.3413288924877403E-2</v>
      </c>
      <c r="Y96">
        <v>3.3413288924877403E-2</v>
      </c>
      <c r="Z96">
        <v>3.3413288924877403E-2</v>
      </c>
      <c r="AA96">
        <v>0.68082256636130301</v>
      </c>
      <c r="AB96">
        <v>0.640397214656937</v>
      </c>
      <c r="AC96">
        <v>0.88813637444833504</v>
      </c>
      <c r="AD96">
        <v>0.98103041343309905</v>
      </c>
      <c r="AE96">
        <v>0.97653343360448597</v>
      </c>
      <c r="AF96">
        <v>0.99554637485057895</v>
      </c>
      <c r="AG96">
        <v>0.96276711922126401</v>
      </c>
      <c r="AH96">
        <v>0.95414297415076299</v>
      </c>
      <c r="AI96">
        <v>0.99113224336512495</v>
      </c>
      <c r="AJ96">
        <v>200</v>
      </c>
      <c r="AK96">
        <v>73</v>
      </c>
      <c r="AL96">
        <v>127</v>
      </c>
      <c r="AM96">
        <v>73</v>
      </c>
      <c r="AN96">
        <v>0</v>
      </c>
      <c r="AO96">
        <v>27</v>
      </c>
      <c r="AP96">
        <v>1</v>
      </c>
      <c r="AQ96">
        <v>0</v>
      </c>
      <c r="AR96">
        <v>0</v>
      </c>
      <c r="AS96">
        <v>0</v>
      </c>
      <c r="AT96">
        <v>99</v>
      </c>
      <c r="AU96">
        <v>68</v>
      </c>
      <c r="AV96">
        <v>17</v>
      </c>
      <c r="AW96">
        <v>4</v>
      </c>
      <c r="AX96">
        <v>111</v>
      </c>
      <c r="AY96">
        <v>0.78079331941544905</v>
      </c>
      <c r="AZ96">
        <v>0.68860471993605299</v>
      </c>
      <c r="BA96">
        <v>0.86503322259136195</v>
      </c>
      <c r="BB96">
        <v>856</v>
      </c>
      <c r="BC96">
        <v>1004.34</v>
      </c>
      <c r="BD96">
        <v>101</v>
      </c>
      <c r="BE96">
        <v>99</v>
      </c>
      <c r="BF96">
        <v>0.37494577248757099</v>
      </c>
      <c r="BG96">
        <v>0.57703879490836496</v>
      </c>
      <c r="BH96">
        <v>0.96342425501652096</v>
      </c>
      <c r="BI96">
        <v>1</v>
      </c>
      <c r="BJ96">
        <v>0.37494577248757099</v>
      </c>
      <c r="BK96">
        <v>0.96342425501652096</v>
      </c>
      <c r="BL96">
        <v>0.79439252336448596</v>
      </c>
      <c r="BM96">
        <v>1</v>
      </c>
      <c r="BN96">
        <v>4</v>
      </c>
      <c r="BO96" t="s">
        <v>140</v>
      </c>
      <c r="BP96" t="s">
        <v>85</v>
      </c>
      <c r="BQ96" t="s">
        <v>206</v>
      </c>
      <c r="BR96" t="s">
        <v>106</v>
      </c>
      <c r="BS96" t="s">
        <v>86</v>
      </c>
      <c r="BT96">
        <v>3.3000000000000002E-2</v>
      </c>
      <c r="BU96" t="s">
        <v>374</v>
      </c>
      <c r="BV96" t="s">
        <v>213</v>
      </c>
      <c r="BW96">
        <v>0.96299999999999997</v>
      </c>
      <c r="BX96">
        <v>1</v>
      </c>
      <c r="BY96">
        <v>0.98199999999999998</v>
      </c>
      <c r="BZ96">
        <v>0.64100000000000001</v>
      </c>
      <c r="CA96">
        <v>0.98099999999999998</v>
      </c>
      <c r="CB96">
        <v>0.68100000000000005</v>
      </c>
      <c r="CC96">
        <v>0.78100000000000003</v>
      </c>
    </row>
    <row r="97" spans="1:81" x14ac:dyDescent="0.2">
      <c r="A97" t="s">
        <v>139</v>
      </c>
      <c r="B97" t="s">
        <v>81</v>
      </c>
      <c r="C97" t="s">
        <v>206</v>
      </c>
      <c r="D97" t="s">
        <v>108</v>
      </c>
      <c r="E97" t="s">
        <v>89</v>
      </c>
      <c r="F97">
        <v>1414</v>
      </c>
      <c r="G97">
        <v>65453</v>
      </c>
      <c r="H97">
        <v>2.1603287855407698E-2</v>
      </c>
      <c r="I97">
        <v>0.83534928694620603</v>
      </c>
      <c r="J97">
        <v>0.77075693343873097</v>
      </c>
      <c r="K97">
        <v>0.89194637725189396</v>
      </c>
      <c r="L97">
        <v>0.75268817204301097</v>
      </c>
      <c r="M97">
        <v>0.66292134831460703</v>
      </c>
      <c r="N97">
        <v>0.83908045977011503</v>
      </c>
      <c r="O97">
        <v>0.99890914688147603</v>
      </c>
      <c r="P97">
        <v>0.997878896713982</v>
      </c>
      <c r="Q97">
        <v>1</v>
      </c>
      <c r="R97">
        <v>0.93840617495804801</v>
      </c>
      <c r="S97">
        <v>0.88519675156796696</v>
      </c>
      <c r="T97">
        <v>1</v>
      </c>
      <c r="U97">
        <v>0.994563040704042</v>
      </c>
      <c r="V97">
        <v>0.99260417080285401</v>
      </c>
      <c r="W97">
        <v>0.99645344750493003</v>
      </c>
      <c r="X97">
        <v>2.1603287855407698E-2</v>
      </c>
      <c r="Y97">
        <v>2.1603287855407698E-2</v>
      </c>
      <c r="Z97">
        <v>2.1603287855407698E-2</v>
      </c>
      <c r="AA97">
        <v>0.837387103513488</v>
      </c>
      <c r="AB97">
        <v>0.77697753528792901</v>
      </c>
      <c r="AC97">
        <v>0.89276065787886605</v>
      </c>
      <c r="AD97">
        <v>0.96504383005310101</v>
      </c>
      <c r="AE97">
        <v>0.93560719025186201</v>
      </c>
      <c r="AF97">
        <v>0.99638348911881702</v>
      </c>
      <c r="AG97">
        <v>0.993237943072519</v>
      </c>
      <c r="AH97">
        <v>0.98955078594855606</v>
      </c>
      <c r="AI97">
        <v>0.99602110529752896</v>
      </c>
      <c r="AJ97">
        <v>200</v>
      </c>
      <c r="AK97">
        <v>73</v>
      </c>
      <c r="AL97">
        <v>127</v>
      </c>
      <c r="AM97">
        <v>70</v>
      </c>
      <c r="AN97">
        <v>0</v>
      </c>
      <c r="AO97">
        <v>23</v>
      </c>
      <c r="AP97">
        <v>0</v>
      </c>
      <c r="AQ97">
        <v>3</v>
      </c>
      <c r="AR97">
        <v>0</v>
      </c>
      <c r="AS97">
        <v>4</v>
      </c>
      <c r="AT97">
        <v>100</v>
      </c>
      <c r="AU97">
        <v>68</v>
      </c>
      <c r="AV97">
        <v>17</v>
      </c>
      <c r="AW97">
        <v>4</v>
      </c>
      <c r="AX97">
        <v>111</v>
      </c>
      <c r="AY97">
        <v>0.78079331941544905</v>
      </c>
      <c r="AZ97">
        <v>0.68892028363837898</v>
      </c>
      <c r="BA97">
        <v>0.863244266778876</v>
      </c>
      <c r="BB97">
        <v>856</v>
      </c>
      <c r="BC97">
        <v>1004.34</v>
      </c>
      <c r="BD97">
        <v>93</v>
      </c>
      <c r="BE97">
        <v>107</v>
      </c>
      <c r="BF97">
        <v>0.65237137159110703</v>
      </c>
      <c r="BG97">
        <v>0.83631510338734305</v>
      </c>
      <c r="BH97">
        <v>0.966112000525989</v>
      </c>
      <c r="BI97">
        <v>1</v>
      </c>
      <c r="BJ97">
        <v>0.65237137159110703</v>
      </c>
      <c r="BK97">
        <v>0.966112000525989</v>
      </c>
      <c r="BL97">
        <v>0.83908045977011503</v>
      </c>
      <c r="BM97">
        <v>1</v>
      </c>
      <c r="BN97">
        <v>4</v>
      </c>
      <c r="BO97" t="s">
        <v>140</v>
      </c>
      <c r="BP97" t="s">
        <v>85</v>
      </c>
      <c r="BQ97" t="s">
        <v>206</v>
      </c>
      <c r="BR97" t="s">
        <v>108</v>
      </c>
      <c r="BS97" t="s">
        <v>86</v>
      </c>
      <c r="BT97">
        <v>2.1999999999999999E-2</v>
      </c>
      <c r="BU97" t="s">
        <v>225</v>
      </c>
      <c r="BV97" t="s">
        <v>222</v>
      </c>
      <c r="BW97">
        <v>0.99299999999999999</v>
      </c>
      <c r="BX97">
        <v>0.93799999999999994</v>
      </c>
      <c r="BY97">
        <v>0.995</v>
      </c>
      <c r="BZ97">
        <v>0.83499999999999996</v>
      </c>
      <c r="CA97">
        <v>0.96499999999999997</v>
      </c>
      <c r="CB97">
        <v>0.83699999999999997</v>
      </c>
      <c r="CC97">
        <v>0.78100000000000003</v>
      </c>
    </row>
    <row r="98" spans="1:81" x14ac:dyDescent="0.2">
      <c r="A98" t="s">
        <v>139</v>
      </c>
      <c r="B98" t="s">
        <v>81</v>
      </c>
      <c r="C98" t="s">
        <v>206</v>
      </c>
      <c r="D98" t="s">
        <v>120</v>
      </c>
      <c r="E98" t="s">
        <v>89</v>
      </c>
      <c r="F98" t="s">
        <v>93</v>
      </c>
      <c r="G98" t="s">
        <v>93</v>
      </c>
      <c r="H98">
        <v>2.0479580767879198E-2</v>
      </c>
      <c r="I98">
        <v>0.88607594936709</v>
      </c>
      <c r="J98">
        <v>0.82993197278911601</v>
      </c>
      <c r="K98">
        <v>0.93567251461988299</v>
      </c>
      <c r="L98">
        <v>0.82352941176470595</v>
      </c>
      <c r="M98">
        <v>0.73808035714285702</v>
      </c>
      <c r="N98">
        <v>0.90322580645161299</v>
      </c>
      <c r="O98">
        <v>0.99926207895334096</v>
      </c>
      <c r="P98">
        <v>0.99834296405937695</v>
      </c>
      <c r="Q98">
        <v>1</v>
      </c>
      <c r="R98">
        <v>0.95890410958904604</v>
      </c>
      <c r="S98">
        <v>0.90769230769231202</v>
      </c>
      <c r="T98">
        <v>1</v>
      </c>
      <c r="U98">
        <v>0.99632125326526699</v>
      </c>
      <c r="V98">
        <v>0.99455303414427898</v>
      </c>
      <c r="W98">
        <v>0.99797774193286304</v>
      </c>
      <c r="X98">
        <v>2.0479580767879198E-2</v>
      </c>
      <c r="Y98">
        <v>1.86669728407244E-2</v>
      </c>
      <c r="Z98">
        <v>2.2085822396732499E-2</v>
      </c>
      <c r="AA98">
        <v>0.88653894458990701</v>
      </c>
      <c r="AB98">
        <v>0.83254873558610998</v>
      </c>
      <c r="AC98">
        <v>0.93526937284543699</v>
      </c>
      <c r="AD98">
        <v>0.97696642479353102</v>
      </c>
      <c r="AE98">
        <v>0.94979292550552596</v>
      </c>
      <c r="AF98">
        <v>0.99759901645752502</v>
      </c>
      <c r="AG98">
        <v>0.99572226197480995</v>
      </c>
      <c r="AH98">
        <v>0.99294689654721002</v>
      </c>
      <c r="AI98">
        <v>0.99786695396987701</v>
      </c>
      <c r="AJ98">
        <v>200</v>
      </c>
      <c r="AK98">
        <v>73</v>
      </c>
      <c r="AL98">
        <v>127</v>
      </c>
      <c r="AM98">
        <v>70</v>
      </c>
      <c r="AN98">
        <v>0</v>
      </c>
      <c r="AO98">
        <v>15</v>
      </c>
      <c r="AP98">
        <v>0</v>
      </c>
      <c r="AQ98">
        <v>3</v>
      </c>
      <c r="AR98">
        <v>0</v>
      </c>
      <c r="AS98">
        <v>12</v>
      </c>
      <c r="AT98">
        <v>100</v>
      </c>
      <c r="AU98">
        <v>68</v>
      </c>
      <c r="AV98">
        <v>17</v>
      </c>
      <c r="AW98">
        <v>4</v>
      </c>
      <c r="AX98">
        <v>111</v>
      </c>
      <c r="AY98">
        <v>0.78079331941544905</v>
      </c>
      <c r="AZ98">
        <v>0.689569536423841</v>
      </c>
      <c r="BA98">
        <v>0.865145228215768</v>
      </c>
      <c r="BB98">
        <v>856</v>
      </c>
      <c r="BC98">
        <v>1004.34</v>
      </c>
      <c r="BD98">
        <v>85</v>
      </c>
      <c r="BE98">
        <v>115</v>
      </c>
      <c r="BF98">
        <v>0.72569509830185996</v>
      </c>
      <c r="BG98">
        <v>0.897729887857453</v>
      </c>
      <c r="BH98">
        <v>0.96843180401175299</v>
      </c>
      <c r="BI98">
        <v>1</v>
      </c>
      <c r="BJ98">
        <v>0.72569509830185996</v>
      </c>
      <c r="BK98">
        <v>0.96843180401175299</v>
      </c>
      <c r="BL98">
        <v>0.90322580645161299</v>
      </c>
      <c r="BM98">
        <v>1</v>
      </c>
      <c r="BN98">
        <v>4</v>
      </c>
      <c r="BO98" t="s">
        <v>140</v>
      </c>
      <c r="BP98" t="s">
        <v>85</v>
      </c>
      <c r="BQ98" t="s">
        <v>206</v>
      </c>
      <c r="BR98" t="s">
        <v>120</v>
      </c>
      <c r="BS98" t="s">
        <v>86</v>
      </c>
      <c r="BT98">
        <v>0.02</v>
      </c>
      <c r="BU98" t="s">
        <v>226</v>
      </c>
      <c r="BV98" t="s">
        <v>222</v>
      </c>
      <c r="BW98">
        <v>0.996</v>
      </c>
      <c r="BX98">
        <v>0.95899999999999996</v>
      </c>
      <c r="BY98">
        <v>0.996</v>
      </c>
      <c r="BZ98">
        <v>0.88600000000000001</v>
      </c>
      <c r="CA98">
        <v>0.97699999999999998</v>
      </c>
      <c r="CB98">
        <v>0.88700000000000001</v>
      </c>
      <c r="CC98">
        <v>0.78100000000000003</v>
      </c>
    </row>
    <row r="99" spans="1:81" x14ac:dyDescent="0.2">
      <c r="A99" t="s">
        <v>139</v>
      </c>
      <c r="B99" t="s">
        <v>81</v>
      </c>
      <c r="C99" t="s">
        <v>206</v>
      </c>
      <c r="D99" t="s">
        <v>123</v>
      </c>
      <c r="E99" t="s">
        <v>89</v>
      </c>
      <c r="F99" t="s">
        <v>93</v>
      </c>
      <c r="G99" t="s">
        <v>93</v>
      </c>
      <c r="H99">
        <v>2.68655371029594E-2</v>
      </c>
      <c r="I99">
        <v>0.76962785774185105</v>
      </c>
      <c r="J99">
        <v>0.50411087674215604</v>
      </c>
      <c r="K99">
        <v>1.00000000000001</v>
      </c>
      <c r="L99">
        <v>0.63674414108039601</v>
      </c>
      <c r="M99">
        <v>0.34005879829730401</v>
      </c>
      <c r="N99">
        <v>1</v>
      </c>
      <c r="O99">
        <v>0.99950482435158905</v>
      </c>
      <c r="P99">
        <v>0.99873691116003505</v>
      </c>
      <c r="Q99">
        <v>1</v>
      </c>
      <c r="R99">
        <v>0.97260273972602795</v>
      </c>
      <c r="S99">
        <v>0.92957746478873304</v>
      </c>
      <c r="T99">
        <v>1.00000000000001</v>
      </c>
      <c r="U99">
        <v>0.99006621744122503</v>
      </c>
      <c r="V99">
        <v>0.96727736661668295</v>
      </c>
      <c r="W99">
        <v>1</v>
      </c>
      <c r="X99">
        <v>2.68655371029594E-2</v>
      </c>
      <c r="Y99">
        <v>1.5488758563942299E-2</v>
      </c>
      <c r="Z99">
        <v>4.9414046883202202E-2</v>
      </c>
      <c r="AA99">
        <v>0.78262195730196105</v>
      </c>
      <c r="AB99">
        <v>0.56357155703089201</v>
      </c>
      <c r="AC99">
        <v>1.00000000000001</v>
      </c>
      <c r="AD99">
        <v>0.978719148269938</v>
      </c>
      <c r="AE99">
        <v>0.93583968034368603</v>
      </c>
      <c r="AF99">
        <v>1.00000000000001</v>
      </c>
      <c r="AG99">
        <v>0.98491297219422003</v>
      </c>
      <c r="AH99">
        <v>0.91316646377425703</v>
      </c>
      <c r="AI99">
        <v>1</v>
      </c>
      <c r="AJ99">
        <v>200</v>
      </c>
      <c r="AK99">
        <v>73</v>
      </c>
      <c r="AL99">
        <v>127</v>
      </c>
      <c r="AM99">
        <v>71</v>
      </c>
      <c r="AN99">
        <v>0</v>
      </c>
      <c r="AO99">
        <v>0</v>
      </c>
      <c r="AP99">
        <v>1</v>
      </c>
      <c r="AQ99">
        <v>2</v>
      </c>
      <c r="AR99">
        <v>0</v>
      </c>
      <c r="AS99">
        <v>27</v>
      </c>
      <c r="AT99">
        <v>99</v>
      </c>
      <c r="AU99">
        <v>68</v>
      </c>
      <c r="AV99">
        <v>17</v>
      </c>
      <c r="AW99">
        <v>4</v>
      </c>
      <c r="AX99">
        <v>111</v>
      </c>
      <c r="AY99">
        <v>0.78079331941544905</v>
      </c>
      <c r="AZ99">
        <v>0.68879668049792497</v>
      </c>
      <c r="BA99">
        <v>0.865036022731972</v>
      </c>
      <c r="BB99">
        <v>856</v>
      </c>
      <c r="BC99">
        <v>1004.34</v>
      </c>
      <c r="BD99">
        <v>72</v>
      </c>
      <c r="BE99">
        <v>128</v>
      </c>
      <c r="BF99">
        <v>0.51712864809702097</v>
      </c>
      <c r="BG99">
        <v>0.74883714822143899</v>
      </c>
      <c r="BH99">
        <v>0.97159194655645598</v>
      </c>
      <c r="BI99">
        <v>1</v>
      </c>
      <c r="BJ99">
        <v>0.34005879829730401</v>
      </c>
      <c r="BK99">
        <v>0.97159194655645598</v>
      </c>
      <c r="BL99">
        <v>1</v>
      </c>
      <c r="BM99">
        <v>1</v>
      </c>
      <c r="BN99">
        <v>4</v>
      </c>
      <c r="BO99" t="s">
        <v>140</v>
      </c>
      <c r="BP99" t="s">
        <v>85</v>
      </c>
      <c r="BQ99" t="s">
        <v>206</v>
      </c>
      <c r="BR99" t="s">
        <v>123</v>
      </c>
      <c r="BS99" t="s">
        <v>86</v>
      </c>
      <c r="BT99">
        <v>2.7E-2</v>
      </c>
      <c r="BU99" t="s">
        <v>227</v>
      </c>
      <c r="BV99" t="s">
        <v>203</v>
      </c>
      <c r="BW99">
        <v>0.98499999999999999</v>
      </c>
      <c r="BX99">
        <v>0.97299999999999998</v>
      </c>
      <c r="BY99">
        <v>0.99</v>
      </c>
      <c r="BZ99">
        <v>0.77</v>
      </c>
      <c r="CA99">
        <v>0.97899999999999998</v>
      </c>
      <c r="CB99">
        <v>0.78300000000000003</v>
      </c>
      <c r="CC99">
        <v>0.78100000000000003</v>
      </c>
    </row>
    <row r="100" spans="1:81" x14ac:dyDescent="0.2">
      <c r="A100" t="s">
        <v>158</v>
      </c>
      <c r="B100" t="s">
        <v>126</v>
      </c>
      <c r="C100" t="s">
        <v>206</v>
      </c>
      <c r="D100" t="s">
        <v>83</v>
      </c>
      <c r="E100" t="s">
        <v>89</v>
      </c>
      <c r="F100">
        <v>322</v>
      </c>
      <c r="G100">
        <v>783</v>
      </c>
      <c r="H100">
        <v>0.41123882503192799</v>
      </c>
      <c r="I100">
        <v>0.97529986098089305</v>
      </c>
      <c r="J100">
        <v>0.93736526709253798</v>
      </c>
      <c r="K100">
        <v>1</v>
      </c>
      <c r="L100">
        <v>0.96583850931676996</v>
      </c>
      <c r="M100">
        <v>0.89751552795030998</v>
      </c>
      <c r="N100">
        <v>1</v>
      </c>
      <c r="O100">
        <v>0.98969072164948502</v>
      </c>
      <c r="P100">
        <v>0.96703296703296704</v>
      </c>
      <c r="Q100">
        <v>1</v>
      </c>
      <c r="R100">
        <v>0.98494841321666504</v>
      </c>
      <c r="S100">
        <v>0.95280950634239603</v>
      </c>
      <c r="T100">
        <v>1</v>
      </c>
      <c r="U100">
        <v>0.97645786907309795</v>
      </c>
      <c r="V100">
        <v>0.93247406919585096</v>
      </c>
      <c r="W100">
        <v>1</v>
      </c>
      <c r="X100">
        <v>0.41123882503192799</v>
      </c>
      <c r="Y100">
        <v>0.41123882503192799</v>
      </c>
      <c r="Z100">
        <v>0.41123882503192799</v>
      </c>
      <c r="AA100">
        <v>0.95846325206679805</v>
      </c>
      <c r="AB100">
        <v>0.89574174005474205</v>
      </c>
      <c r="AC100">
        <v>1</v>
      </c>
      <c r="AD100">
        <v>0.98057727291643004</v>
      </c>
      <c r="AE100">
        <v>0.94965256802106002</v>
      </c>
      <c r="AF100">
        <v>1</v>
      </c>
      <c r="AG100">
        <v>0.97624475889717</v>
      </c>
      <c r="AH100">
        <v>0.92613395432901202</v>
      </c>
      <c r="AI100">
        <v>1</v>
      </c>
      <c r="AJ100">
        <v>200</v>
      </c>
      <c r="AK100">
        <v>103</v>
      </c>
      <c r="AL100">
        <v>97</v>
      </c>
      <c r="AM100">
        <v>100</v>
      </c>
      <c r="AN100">
        <v>2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96</v>
      </c>
      <c r="AU100">
        <v>101</v>
      </c>
      <c r="AV100">
        <v>2</v>
      </c>
      <c r="AW100">
        <v>3</v>
      </c>
      <c r="AX100">
        <v>94</v>
      </c>
      <c r="AY100">
        <v>0.94993992791349602</v>
      </c>
      <c r="AZ100">
        <v>0.89984977466199301</v>
      </c>
      <c r="BA100">
        <v>0.98996990972918797</v>
      </c>
      <c r="BB100">
        <v>487.5</v>
      </c>
      <c r="BC100">
        <v>673.80499999999995</v>
      </c>
      <c r="BD100">
        <v>103</v>
      </c>
      <c r="BE100">
        <v>97</v>
      </c>
      <c r="BF100">
        <v>0.903545521623496</v>
      </c>
      <c r="BG100">
        <v>0.98931906721016905</v>
      </c>
      <c r="BH100">
        <v>0.94389584589490805</v>
      </c>
      <c r="BI100">
        <v>0.99973902572997597</v>
      </c>
      <c r="BJ100">
        <v>0.89751552795030998</v>
      </c>
      <c r="BK100">
        <v>0.94389584589490805</v>
      </c>
      <c r="BL100">
        <v>1</v>
      </c>
      <c r="BM100">
        <v>1</v>
      </c>
      <c r="BN100">
        <v>2</v>
      </c>
      <c r="BO100" t="s">
        <v>159</v>
      </c>
      <c r="BP100" t="s">
        <v>127</v>
      </c>
      <c r="BQ100" t="s">
        <v>206</v>
      </c>
      <c r="BR100" t="s">
        <v>83</v>
      </c>
      <c r="BS100" t="s">
        <v>86</v>
      </c>
      <c r="BT100">
        <v>0.41099999999999998</v>
      </c>
      <c r="BU100" t="s">
        <v>228</v>
      </c>
      <c r="BV100" t="s">
        <v>211</v>
      </c>
      <c r="BW100">
        <v>0.97599999999999998</v>
      </c>
      <c r="BX100">
        <v>0.98499999999999999</v>
      </c>
      <c r="BY100">
        <v>0.97599999999999998</v>
      </c>
      <c r="BZ100">
        <v>0.97499999999999998</v>
      </c>
      <c r="CA100">
        <v>0.98099999999999998</v>
      </c>
      <c r="CB100">
        <v>0.95799999999999996</v>
      </c>
      <c r="CC100">
        <v>0.95</v>
      </c>
    </row>
    <row r="101" spans="1:81" x14ac:dyDescent="0.2">
      <c r="A101" t="s">
        <v>158</v>
      </c>
      <c r="B101" t="s">
        <v>126</v>
      </c>
      <c r="C101" t="s">
        <v>206</v>
      </c>
      <c r="D101" t="s">
        <v>89</v>
      </c>
      <c r="E101" t="s">
        <v>89</v>
      </c>
      <c r="F101">
        <v>370</v>
      </c>
      <c r="G101">
        <v>1000</v>
      </c>
      <c r="H101">
        <v>0.37</v>
      </c>
      <c r="I101">
        <v>0.97509553300830099</v>
      </c>
      <c r="J101">
        <v>0.94580312154356605</v>
      </c>
      <c r="K101">
        <v>1</v>
      </c>
      <c r="L101">
        <v>1</v>
      </c>
      <c r="M101">
        <v>1</v>
      </c>
      <c r="N101">
        <v>1</v>
      </c>
      <c r="O101">
        <v>0.97</v>
      </c>
      <c r="P101">
        <v>0.93269230769230804</v>
      </c>
      <c r="Q101">
        <v>1</v>
      </c>
      <c r="R101">
        <v>0.95140138853175604</v>
      </c>
      <c r="S101">
        <v>0.89717882956400097</v>
      </c>
      <c r="T101">
        <v>1</v>
      </c>
      <c r="U101">
        <v>1</v>
      </c>
      <c r="V101">
        <v>1</v>
      </c>
      <c r="W101">
        <v>1</v>
      </c>
      <c r="X101">
        <v>0.37</v>
      </c>
      <c r="Y101">
        <v>0.37</v>
      </c>
      <c r="Z101">
        <v>0.37</v>
      </c>
      <c r="AA101">
        <v>0.96065568591239003</v>
      </c>
      <c r="AB101">
        <v>0.91476324421061594</v>
      </c>
      <c r="AC101">
        <v>1</v>
      </c>
      <c r="AD101">
        <v>0.97509553300830099</v>
      </c>
      <c r="AE101">
        <v>0.94580312154356605</v>
      </c>
      <c r="AF101">
        <v>1</v>
      </c>
      <c r="AG101">
        <v>1</v>
      </c>
      <c r="AH101">
        <v>1</v>
      </c>
      <c r="AI101">
        <v>1</v>
      </c>
      <c r="AJ101">
        <v>200</v>
      </c>
      <c r="AK101">
        <v>103</v>
      </c>
      <c r="AL101">
        <v>97</v>
      </c>
      <c r="AM101">
        <v>100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0</v>
      </c>
      <c r="AT101">
        <v>97</v>
      </c>
      <c r="AU101">
        <v>101</v>
      </c>
      <c r="AV101">
        <v>2</v>
      </c>
      <c r="AW101">
        <v>3</v>
      </c>
      <c r="AX101">
        <v>94</v>
      </c>
      <c r="AY101">
        <v>0.94993992791349602</v>
      </c>
      <c r="AZ101">
        <v>0.89991993594875896</v>
      </c>
      <c r="BA101">
        <v>0.98996990972918797</v>
      </c>
      <c r="BB101">
        <v>487.5</v>
      </c>
      <c r="BC101">
        <v>673.80499999999995</v>
      </c>
      <c r="BD101">
        <v>100</v>
      </c>
      <c r="BE101">
        <v>100</v>
      </c>
      <c r="BF101">
        <v>0.96378330735482398</v>
      </c>
      <c r="BG101">
        <v>1</v>
      </c>
      <c r="BH101">
        <v>0.91482394702572001</v>
      </c>
      <c r="BI101">
        <v>0.99377002846169404</v>
      </c>
      <c r="BJ101">
        <v>0.96378330735482398</v>
      </c>
      <c r="BK101">
        <v>0.91482394702572001</v>
      </c>
      <c r="BL101">
        <v>1</v>
      </c>
      <c r="BM101">
        <v>1</v>
      </c>
      <c r="BN101">
        <v>2</v>
      </c>
      <c r="BO101" t="s">
        <v>159</v>
      </c>
      <c r="BP101" t="s">
        <v>127</v>
      </c>
      <c r="BQ101" t="s">
        <v>206</v>
      </c>
      <c r="BR101" t="s">
        <v>89</v>
      </c>
      <c r="BS101" t="s">
        <v>86</v>
      </c>
      <c r="BT101">
        <v>0.37</v>
      </c>
      <c r="BU101" t="s">
        <v>213</v>
      </c>
      <c r="BV101" t="s">
        <v>229</v>
      </c>
      <c r="BW101">
        <v>1</v>
      </c>
      <c r="BX101">
        <v>0.95099999999999996</v>
      </c>
      <c r="BY101">
        <v>1</v>
      </c>
      <c r="BZ101">
        <v>0.97499999999999998</v>
      </c>
      <c r="CA101">
        <v>0.97499999999999998</v>
      </c>
      <c r="CB101">
        <v>0.96099999999999997</v>
      </c>
      <c r="CC101">
        <v>0.95</v>
      </c>
    </row>
    <row r="102" spans="1:81" x14ac:dyDescent="0.2">
      <c r="A102" t="s">
        <v>158</v>
      </c>
      <c r="B102" t="s">
        <v>126</v>
      </c>
      <c r="C102" t="s">
        <v>206</v>
      </c>
      <c r="D102" t="s">
        <v>106</v>
      </c>
      <c r="E102" t="s">
        <v>89</v>
      </c>
      <c r="F102">
        <v>324</v>
      </c>
      <c r="G102">
        <v>783</v>
      </c>
      <c r="H102">
        <v>0.41379310344827602</v>
      </c>
      <c r="I102">
        <v>0.97441972661484899</v>
      </c>
      <c r="J102">
        <v>0.93485546149999399</v>
      </c>
      <c r="K102">
        <v>1</v>
      </c>
      <c r="L102">
        <v>0.96399176954732502</v>
      </c>
      <c r="M102">
        <v>0.89197530864197505</v>
      </c>
      <c r="N102">
        <v>1</v>
      </c>
      <c r="O102">
        <v>0.98969072164948502</v>
      </c>
      <c r="P102">
        <v>0.96703296703296704</v>
      </c>
      <c r="Q102">
        <v>1</v>
      </c>
      <c r="R102">
        <v>0.98507575921791302</v>
      </c>
      <c r="S102">
        <v>0.95329839827524698</v>
      </c>
      <c r="T102">
        <v>1</v>
      </c>
      <c r="U102">
        <v>0.97496072632331998</v>
      </c>
      <c r="V102">
        <v>0.92840232606247297</v>
      </c>
      <c r="W102">
        <v>1</v>
      </c>
      <c r="X102">
        <v>0.41379310344827602</v>
      </c>
      <c r="Y102">
        <v>0.41379310344827602</v>
      </c>
      <c r="Z102">
        <v>0.41379310344827602</v>
      </c>
      <c r="AA102">
        <v>0.95685421416785998</v>
      </c>
      <c r="AB102">
        <v>0.89443655347427997</v>
      </c>
      <c r="AC102">
        <v>1</v>
      </c>
      <c r="AD102">
        <v>0.97985235221754496</v>
      </c>
      <c r="AE102">
        <v>0.94916939070148798</v>
      </c>
      <c r="AF102">
        <v>1</v>
      </c>
      <c r="AG102">
        <v>0.97468404771876804</v>
      </c>
      <c r="AH102">
        <v>0.92124507781736398</v>
      </c>
      <c r="AI102">
        <v>1</v>
      </c>
      <c r="AJ102">
        <v>200</v>
      </c>
      <c r="AK102">
        <v>103</v>
      </c>
      <c r="AL102">
        <v>97</v>
      </c>
      <c r="AM102">
        <v>100</v>
      </c>
      <c r="AN102">
        <v>2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96</v>
      </c>
      <c r="AU102">
        <v>101</v>
      </c>
      <c r="AV102">
        <v>2</v>
      </c>
      <c r="AW102">
        <v>3</v>
      </c>
      <c r="AX102">
        <v>94</v>
      </c>
      <c r="AY102">
        <v>0.94993992791349602</v>
      </c>
      <c r="AZ102">
        <v>0.89995973376844496</v>
      </c>
      <c r="BA102">
        <v>0.98995782285599498</v>
      </c>
      <c r="BB102">
        <v>487.5</v>
      </c>
      <c r="BC102">
        <v>673.80499999999995</v>
      </c>
      <c r="BD102">
        <v>103</v>
      </c>
      <c r="BE102">
        <v>97</v>
      </c>
      <c r="BF102">
        <v>0.903545521623496</v>
      </c>
      <c r="BG102">
        <v>0.98931906721016905</v>
      </c>
      <c r="BH102">
        <v>0.94389584589490805</v>
      </c>
      <c r="BI102">
        <v>0.99973902572997597</v>
      </c>
      <c r="BJ102">
        <v>0.89197530864197505</v>
      </c>
      <c r="BK102">
        <v>0.94389584589490805</v>
      </c>
      <c r="BL102">
        <v>1</v>
      </c>
      <c r="BM102">
        <v>1</v>
      </c>
      <c r="BN102">
        <v>2</v>
      </c>
      <c r="BO102" t="s">
        <v>159</v>
      </c>
      <c r="BP102" t="s">
        <v>127</v>
      </c>
      <c r="BQ102" t="s">
        <v>206</v>
      </c>
      <c r="BR102" t="s">
        <v>106</v>
      </c>
      <c r="BS102" t="s">
        <v>86</v>
      </c>
      <c r="BT102">
        <v>0.41399999999999998</v>
      </c>
      <c r="BU102" t="s">
        <v>230</v>
      </c>
      <c r="BV102" t="s">
        <v>211</v>
      </c>
      <c r="BW102">
        <v>0.97499999999999998</v>
      </c>
      <c r="BX102">
        <v>0.98499999999999999</v>
      </c>
      <c r="BY102">
        <v>0.97499999999999998</v>
      </c>
      <c r="BZ102">
        <v>0.97399999999999998</v>
      </c>
      <c r="CA102">
        <v>0.98</v>
      </c>
      <c r="CB102">
        <v>0.95699999999999996</v>
      </c>
      <c r="CC102">
        <v>0.95</v>
      </c>
    </row>
    <row r="103" spans="1:81" x14ac:dyDescent="0.2">
      <c r="A103" t="s">
        <v>158</v>
      </c>
      <c r="B103" t="s">
        <v>126</v>
      </c>
      <c r="C103" t="s">
        <v>206</v>
      </c>
      <c r="D103" t="s">
        <v>108</v>
      </c>
      <c r="E103" t="s">
        <v>89</v>
      </c>
      <c r="F103">
        <v>289</v>
      </c>
      <c r="G103">
        <v>783</v>
      </c>
      <c r="H103">
        <v>0.369093231162197</v>
      </c>
      <c r="I103">
        <v>0.97500084342633497</v>
      </c>
      <c r="J103">
        <v>0.944595763770949</v>
      </c>
      <c r="K103">
        <v>1</v>
      </c>
      <c r="L103">
        <v>1</v>
      </c>
      <c r="M103">
        <v>1</v>
      </c>
      <c r="N103">
        <v>1</v>
      </c>
      <c r="O103">
        <v>0.97</v>
      </c>
      <c r="P103">
        <v>0.93137254901960798</v>
      </c>
      <c r="Q103">
        <v>1</v>
      </c>
      <c r="R103">
        <v>0.95122111776709894</v>
      </c>
      <c r="S103">
        <v>0.89500850133592402</v>
      </c>
      <c r="T103">
        <v>1</v>
      </c>
      <c r="U103">
        <v>1</v>
      </c>
      <c r="V103">
        <v>1</v>
      </c>
      <c r="W103">
        <v>1</v>
      </c>
      <c r="X103">
        <v>0.369093231162197</v>
      </c>
      <c r="Y103">
        <v>0.369093231162197</v>
      </c>
      <c r="Z103">
        <v>0.369093231162197</v>
      </c>
      <c r="AA103">
        <v>0.96056466947003905</v>
      </c>
      <c r="AB103">
        <v>0.91300950120108804</v>
      </c>
      <c r="AC103">
        <v>1</v>
      </c>
      <c r="AD103">
        <v>0.97500084342633497</v>
      </c>
      <c r="AE103">
        <v>0.944595763770949</v>
      </c>
      <c r="AF103">
        <v>1</v>
      </c>
      <c r="AG103">
        <v>1</v>
      </c>
      <c r="AH103">
        <v>1</v>
      </c>
      <c r="AI103">
        <v>1</v>
      </c>
      <c r="AJ103">
        <v>200</v>
      </c>
      <c r="AK103">
        <v>103</v>
      </c>
      <c r="AL103">
        <v>97</v>
      </c>
      <c r="AM103">
        <v>100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0</v>
      </c>
      <c r="AT103">
        <v>97</v>
      </c>
      <c r="AU103">
        <v>101</v>
      </c>
      <c r="AV103">
        <v>2</v>
      </c>
      <c r="AW103">
        <v>3</v>
      </c>
      <c r="AX103">
        <v>94</v>
      </c>
      <c r="AY103">
        <v>0.94993992791349602</v>
      </c>
      <c r="AZ103">
        <v>0.90000999900010004</v>
      </c>
      <c r="BA103">
        <v>0.98995782285599498</v>
      </c>
      <c r="BB103">
        <v>487.5</v>
      </c>
      <c r="BC103">
        <v>673.80499999999995</v>
      </c>
      <c r="BD103">
        <v>100</v>
      </c>
      <c r="BE103">
        <v>100</v>
      </c>
      <c r="BF103">
        <v>0.96378330735482398</v>
      </c>
      <c r="BG103">
        <v>1</v>
      </c>
      <c r="BH103">
        <v>0.91482394702572001</v>
      </c>
      <c r="BI103">
        <v>0.99377002846169404</v>
      </c>
      <c r="BJ103">
        <v>0.96378330735482398</v>
      </c>
      <c r="BK103">
        <v>0.91482394702572001</v>
      </c>
      <c r="BL103">
        <v>1</v>
      </c>
      <c r="BM103">
        <v>1</v>
      </c>
      <c r="BN103">
        <v>2</v>
      </c>
      <c r="BO103" t="s">
        <v>159</v>
      </c>
      <c r="BP103" t="s">
        <v>127</v>
      </c>
      <c r="BQ103" t="s">
        <v>206</v>
      </c>
      <c r="BR103" t="s">
        <v>108</v>
      </c>
      <c r="BS103" t="s">
        <v>86</v>
      </c>
      <c r="BT103">
        <v>0.36899999999999999</v>
      </c>
      <c r="BU103" t="s">
        <v>213</v>
      </c>
      <c r="BV103" t="s">
        <v>229</v>
      </c>
      <c r="BW103">
        <v>1</v>
      </c>
      <c r="BX103">
        <v>0.95099999999999996</v>
      </c>
      <c r="BY103">
        <v>1</v>
      </c>
      <c r="BZ103">
        <v>0.97499999999999998</v>
      </c>
      <c r="CA103">
        <v>0.97499999999999998</v>
      </c>
      <c r="CB103">
        <v>0.96099999999999997</v>
      </c>
      <c r="CC103">
        <v>0.95</v>
      </c>
    </row>
    <row r="104" spans="1:81" x14ac:dyDescent="0.2">
      <c r="A104" t="s">
        <v>158</v>
      </c>
      <c r="B104" t="s">
        <v>126</v>
      </c>
      <c r="C104" t="s">
        <v>206</v>
      </c>
      <c r="D104" t="s">
        <v>120</v>
      </c>
      <c r="E104" t="s">
        <v>89</v>
      </c>
      <c r="F104" t="s">
        <v>93</v>
      </c>
      <c r="G104" t="s">
        <v>93</v>
      </c>
      <c r="H104">
        <v>0.39150000000000001</v>
      </c>
      <c r="I104">
        <v>0.98718605843157403</v>
      </c>
      <c r="J104">
        <v>0.96626001370268699</v>
      </c>
      <c r="K104">
        <v>1</v>
      </c>
      <c r="L104">
        <v>0.98390804597701098</v>
      </c>
      <c r="M104">
        <v>0.94924595496058495</v>
      </c>
      <c r="N104">
        <v>1</v>
      </c>
      <c r="O104">
        <v>0.99391947411668002</v>
      </c>
      <c r="P104">
        <v>0.98032423513508204</v>
      </c>
      <c r="Q104">
        <v>1</v>
      </c>
      <c r="R104">
        <v>0.99048598611468297</v>
      </c>
      <c r="S104">
        <v>0.96905895741855297</v>
      </c>
      <c r="T104">
        <v>1</v>
      </c>
      <c r="U104">
        <v>0.98969072164948502</v>
      </c>
      <c r="V104">
        <v>0.96666666666666701</v>
      </c>
      <c r="W104">
        <v>1</v>
      </c>
      <c r="X104">
        <v>0.39150000000000001</v>
      </c>
      <c r="Y104">
        <v>0.36958395989974901</v>
      </c>
      <c r="Z104">
        <v>0.418932295556385</v>
      </c>
      <c r="AA104">
        <v>0.97900140929757296</v>
      </c>
      <c r="AB104">
        <v>0.94479207665726495</v>
      </c>
      <c r="AC104">
        <v>1</v>
      </c>
      <c r="AD104">
        <v>0.99008531287353596</v>
      </c>
      <c r="AE104">
        <v>0.97439085170764395</v>
      </c>
      <c r="AF104">
        <v>1</v>
      </c>
      <c r="AG104">
        <v>0.98968496366348702</v>
      </c>
      <c r="AH104">
        <v>0.96539262379436597</v>
      </c>
      <c r="AI104">
        <v>1</v>
      </c>
      <c r="AJ104">
        <v>200</v>
      </c>
      <c r="AK104">
        <v>103</v>
      </c>
      <c r="AL104">
        <v>97</v>
      </c>
      <c r="AM104">
        <v>99</v>
      </c>
      <c r="AN104">
        <v>3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96</v>
      </c>
      <c r="AU104">
        <v>101</v>
      </c>
      <c r="AV104">
        <v>2</v>
      </c>
      <c r="AW104">
        <v>3</v>
      </c>
      <c r="AX104">
        <v>94</v>
      </c>
      <c r="AY104">
        <v>0.94993992791349602</v>
      </c>
      <c r="AZ104">
        <v>0.89998949879983503</v>
      </c>
      <c r="BA104">
        <v>0.98995782285599498</v>
      </c>
      <c r="BB104">
        <v>487.5</v>
      </c>
      <c r="BC104">
        <v>673.80499999999995</v>
      </c>
      <c r="BD104">
        <v>103</v>
      </c>
      <c r="BE104">
        <v>97</v>
      </c>
      <c r="BF104">
        <v>0.931614068099619</v>
      </c>
      <c r="BG104">
        <v>0.99763974206289097</v>
      </c>
      <c r="BH104">
        <v>0.94389584589490805</v>
      </c>
      <c r="BI104">
        <v>0.99973902572997597</v>
      </c>
      <c r="BJ104">
        <v>0.931614068099619</v>
      </c>
      <c r="BK104">
        <v>0.94389584589490805</v>
      </c>
      <c r="BL104">
        <v>1</v>
      </c>
      <c r="BM104">
        <v>1</v>
      </c>
      <c r="BN104">
        <v>2</v>
      </c>
      <c r="BO104" t="s">
        <v>159</v>
      </c>
      <c r="BP104" t="s">
        <v>127</v>
      </c>
      <c r="BQ104" t="s">
        <v>206</v>
      </c>
      <c r="BR104" t="s">
        <v>120</v>
      </c>
      <c r="BS104" t="s">
        <v>86</v>
      </c>
      <c r="BT104">
        <v>0.39200000000000002</v>
      </c>
      <c r="BU104" t="s">
        <v>231</v>
      </c>
      <c r="BV104" t="s">
        <v>232</v>
      </c>
      <c r="BW104">
        <v>0.99</v>
      </c>
      <c r="BX104">
        <v>0.99</v>
      </c>
      <c r="BY104">
        <v>0.99</v>
      </c>
      <c r="BZ104">
        <v>0.98699999999999999</v>
      </c>
      <c r="CA104">
        <v>0.99</v>
      </c>
      <c r="CB104">
        <v>0.97899999999999998</v>
      </c>
      <c r="CC104">
        <v>0.95</v>
      </c>
    </row>
    <row r="105" spans="1:81" x14ac:dyDescent="0.2">
      <c r="A105" t="s">
        <v>158</v>
      </c>
      <c r="B105" t="s">
        <v>126</v>
      </c>
      <c r="C105" t="s">
        <v>206</v>
      </c>
      <c r="D105" t="s">
        <v>123</v>
      </c>
      <c r="E105" t="s">
        <v>89</v>
      </c>
      <c r="F105" t="s">
        <v>93</v>
      </c>
      <c r="G105" t="s">
        <v>93</v>
      </c>
      <c r="H105">
        <v>0.39779999999999999</v>
      </c>
      <c r="I105">
        <v>0.97928053896021305</v>
      </c>
      <c r="J105">
        <v>0.95188661474605096</v>
      </c>
      <c r="K105">
        <v>1</v>
      </c>
      <c r="L105">
        <v>0.96832579185520395</v>
      </c>
      <c r="M105">
        <v>0.92068814124674303</v>
      </c>
      <c r="N105">
        <v>1</v>
      </c>
      <c r="O105">
        <v>0.99385586183992003</v>
      </c>
      <c r="P105">
        <v>0.97993456147292801</v>
      </c>
      <c r="Q105">
        <v>1</v>
      </c>
      <c r="R105">
        <v>0.99048598611468197</v>
      </c>
      <c r="S105">
        <v>0.96892344658234797</v>
      </c>
      <c r="T105">
        <v>1</v>
      </c>
      <c r="U105">
        <v>0.97938144329896903</v>
      </c>
      <c r="V105">
        <v>0.94565217391304301</v>
      </c>
      <c r="W105">
        <v>1</v>
      </c>
      <c r="X105">
        <v>0.39779999999999999</v>
      </c>
      <c r="Y105">
        <v>0.37250025002500298</v>
      </c>
      <c r="Z105">
        <v>0.428638863886389</v>
      </c>
      <c r="AA105">
        <v>0.96601689793619305</v>
      </c>
      <c r="AB105">
        <v>0.92121285411762699</v>
      </c>
      <c r="AC105">
        <v>1</v>
      </c>
      <c r="AD105">
        <v>0.98473294093042396</v>
      </c>
      <c r="AE105">
        <v>0.96354472927804702</v>
      </c>
      <c r="AF105">
        <v>1</v>
      </c>
      <c r="AG105">
        <v>0.979046340701346</v>
      </c>
      <c r="AH105">
        <v>0.94172186403285296</v>
      </c>
      <c r="AI105">
        <v>1</v>
      </c>
      <c r="AJ105">
        <v>200</v>
      </c>
      <c r="AK105">
        <v>103</v>
      </c>
      <c r="AL105">
        <v>97</v>
      </c>
      <c r="AM105">
        <v>99</v>
      </c>
      <c r="AN105">
        <v>3</v>
      </c>
      <c r="AO105">
        <v>0</v>
      </c>
      <c r="AP105">
        <v>2</v>
      </c>
      <c r="AQ105">
        <v>1</v>
      </c>
      <c r="AR105">
        <v>0</v>
      </c>
      <c r="AS105">
        <v>0</v>
      </c>
      <c r="AT105">
        <v>95</v>
      </c>
      <c r="AU105">
        <v>101</v>
      </c>
      <c r="AV105">
        <v>2</v>
      </c>
      <c r="AW105">
        <v>3</v>
      </c>
      <c r="AX105">
        <v>94</v>
      </c>
      <c r="AY105">
        <v>0.94993992791349602</v>
      </c>
      <c r="AZ105">
        <v>0.89992995096567596</v>
      </c>
      <c r="BA105">
        <v>0.98994368463394999</v>
      </c>
      <c r="BB105">
        <v>487.5</v>
      </c>
      <c r="BC105">
        <v>673.80499999999995</v>
      </c>
      <c r="BD105">
        <v>104</v>
      </c>
      <c r="BE105">
        <v>96</v>
      </c>
      <c r="BF105">
        <v>0.91800872410787904</v>
      </c>
      <c r="BG105">
        <v>0.99401126102213799</v>
      </c>
      <c r="BH105">
        <v>0.943325293011685</v>
      </c>
      <c r="BI105">
        <v>0.99973630760644905</v>
      </c>
      <c r="BJ105">
        <v>0.91800872410787904</v>
      </c>
      <c r="BK105">
        <v>0.943325293011685</v>
      </c>
      <c r="BL105">
        <v>1</v>
      </c>
      <c r="BM105">
        <v>1</v>
      </c>
      <c r="BN105">
        <v>2</v>
      </c>
      <c r="BO105" t="s">
        <v>159</v>
      </c>
      <c r="BP105" t="s">
        <v>127</v>
      </c>
      <c r="BQ105" t="s">
        <v>206</v>
      </c>
      <c r="BR105" t="s">
        <v>123</v>
      </c>
      <c r="BS105" t="s">
        <v>86</v>
      </c>
      <c r="BT105">
        <v>0.39800000000000002</v>
      </c>
      <c r="BU105" t="s">
        <v>204</v>
      </c>
      <c r="BV105" t="s">
        <v>232</v>
      </c>
      <c r="BW105">
        <v>0.97899999999999998</v>
      </c>
      <c r="BX105">
        <v>0.99</v>
      </c>
      <c r="BY105">
        <v>0.97899999999999998</v>
      </c>
      <c r="BZ105">
        <v>0.97899999999999998</v>
      </c>
      <c r="CA105">
        <v>0.98499999999999999</v>
      </c>
      <c r="CB105">
        <v>0.96599999999999997</v>
      </c>
      <c r="CC105">
        <v>0.95</v>
      </c>
    </row>
    <row r="106" spans="1:81" x14ac:dyDescent="0.2">
      <c r="A106" t="s">
        <v>80</v>
      </c>
      <c r="B106" t="s">
        <v>126</v>
      </c>
      <c r="C106" t="s">
        <v>206</v>
      </c>
      <c r="D106" t="s">
        <v>83</v>
      </c>
      <c r="E106" t="s">
        <v>89</v>
      </c>
      <c r="F106">
        <v>180</v>
      </c>
      <c r="G106">
        <v>343</v>
      </c>
      <c r="H106">
        <v>0.524781341107872</v>
      </c>
      <c r="I106">
        <v>0.96389992552142501</v>
      </c>
      <c r="J106">
        <v>0.93935476605076096</v>
      </c>
      <c r="K106">
        <v>0.98720292504570395</v>
      </c>
      <c r="L106">
        <v>0.97140893470790401</v>
      </c>
      <c r="M106">
        <v>0.93625091494656698</v>
      </c>
      <c r="N106">
        <v>1</v>
      </c>
      <c r="O106">
        <v>0.95122161231299096</v>
      </c>
      <c r="P106">
        <v>0.913046065157605</v>
      </c>
      <c r="Q106">
        <v>0.99033277560884903</v>
      </c>
      <c r="R106">
        <v>0.95650611540615404</v>
      </c>
      <c r="S106">
        <v>0.92487063922233204</v>
      </c>
      <c r="T106">
        <v>0.99105123700035003</v>
      </c>
      <c r="U106">
        <v>0.96787430804959995</v>
      </c>
      <c r="V106">
        <v>0.930736910475359</v>
      </c>
      <c r="W106">
        <v>1</v>
      </c>
      <c r="X106">
        <v>0.524781341107872</v>
      </c>
      <c r="Y106">
        <v>0.524781341107872</v>
      </c>
      <c r="Z106">
        <v>0.524781341107872</v>
      </c>
      <c r="AA106">
        <v>0.92350507077567701</v>
      </c>
      <c r="AB106">
        <v>0.87181488437358701</v>
      </c>
      <c r="AC106">
        <v>0.97304846996643302</v>
      </c>
      <c r="AD106">
        <v>0.96313123854154603</v>
      </c>
      <c r="AE106">
        <v>0.93839621598010503</v>
      </c>
      <c r="AF106">
        <v>0.98682594377391097</v>
      </c>
      <c r="AG106">
        <v>0.96984877800470304</v>
      </c>
      <c r="AH106">
        <v>0.93285093067526303</v>
      </c>
      <c r="AI106">
        <v>1</v>
      </c>
      <c r="AJ106">
        <v>200</v>
      </c>
      <c r="AK106">
        <v>103</v>
      </c>
      <c r="AL106">
        <v>97</v>
      </c>
      <c r="AM106">
        <v>95</v>
      </c>
      <c r="AN106">
        <v>4</v>
      </c>
      <c r="AO106">
        <v>2</v>
      </c>
      <c r="AP106">
        <v>1</v>
      </c>
      <c r="AQ106">
        <v>2</v>
      </c>
      <c r="AR106">
        <v>2</v>
      </c>
      <c r="AS106">
        <v>1</v>
      </c>
      <c r="AT106">
        <v>93</v>
      </c>
      <c r="AU106">
        <v>99</v>
      </c>
      <c r="AV106">
        <v>1</v>
      </c>
      <c r="AW106">
        <v>5</v>
      </c>
      <c r="AX106">
        <v>95</v>
      </c>
      <c r="AY106">
        <v>0.94</v>
      </c>
      <c r="AZ106">
        <v>0.889535496655257</v>
      </c>
      <c r="BA106">
        <v>0.97999799979998004</v>
      </c>
      <c r="BB106">
        <v>618.5</v>
      </c>
      <c r="BC106">
        <v>857.28499999999997</v>
      </c>
      <c r="BD106">
        <v>102</v>
      </c>
      <c r="BE106">
        <v>98</v>
      </c>
      <c r="BF106">
        <v>0.91644665814164405</v>
      </c>
      <c r="BG106">
        <v>0.99389302613757102</v>
      </c>
      <c r="BH106">
        <v>0.88494160006947797</v>
      </c>
      <c r="BI106">
        <v>0.98322858402902003</v>
      </c>
      <c r="BJ106">
        <v>0.91644665814164405</v>
      </c>
      <c r="BK106">
        <v>0.88494160006947797</v>
      </c>
      <c r="BL106">
        <v>1</v>
      </c>
      <c r="BM106">
        <v>0.99033277560884903</v>
      </c>
      <c r="BN106">
        <v>1</v>
      </c>
      <c r="BO106" t="s">
        <v>84</v>
      </c>
      <c r="BP106" t="s">
        <v>127</v>
      </c>
      <c r="BQ106" t="s">
        <v>206</v>
      </c>
      <c r="BR106" t="s">
        <v>83</v>
      </c>
      <c r="BS106" t="s">
        <v>86</v>
      </c>
      <c r="BT106">
        <v>0.52500000000000002</v>
      </c>
      <c r="BU106" t="s">
        <v>233</v>
      </c>
      <c r="BV106" t="s">
        <v>234</v>
      </c>
      <c r="BW106">
        <v>0.97</v>
      </c>
      <c r="BX106">
        <v>0.95699999999999996</v>
      </c>
      <c r="BY106">
        <v>0.96799999999999997</v>
      </c>
      <c r="BZ106">
        <v>0.96399999999999997</v>
      </c>
      <c r="CA106">
        <v>0.96299999999999997</v>
      </c>
      <c r="CB106">
        <v>0.92400000000000004</v>
      </c>
      <c r="CC106">
        <v>0.94</v>
      </c>
    </row>
    <row r="107" spans="1:81" x14ac:dyDescent="0.2">
      <c r="A107" t="s">
        <v>80</v>
      </c>
      <c r="B107" t="s">
        <v>126</v>
      </c>
      <c r="C107" t="s">
        <v>206</v>
      </c>
      <c r="D107" t="s">
        <v>89</v>
      </c>
      <c r="E107" t="s">
        <v>89</v>
      </c>
      <c r="F107">
        <v>261</v>
      </c>
      <c r="G107">
        <v>488</v>
      </c>
      <c r="H107">
        <v>0.53483606557376995</v>
      </c>
      <c r="I107">
        <v>0.95935883590064197</v>
      </c>
      <c r="J107">
        <v>0.93142998042890401</v>
      </c>
      <c r="K107">
        <v>0.98273304681854501</v>
      </c>
      <c r="L107">
        <v>0.97</v>
      </c>
      <c r="M107">
        <v>0.93269230769230804</v>
      </c>
      <c r="N107">
        <v>1</v>
      </c>
      <c r="O107">
        <v>0.94</v>
      </c>
      <c r="P107">
        <v>0.88888888888888895</v>
      </c>
      <c r="Q107">
        <v>0.98076923076923095</v>
      </c>
      <c r="R107">
        <v>0.94894861126728902</v>
      </c>
      <c r="S107">
        <v>0.90872962702737503</v>
      </c>
      <c r="T107">
        <v>0.98306462351011203</v>
      </c>
      <c r="U107">
        <v>0.96460377017313903</v>
      </c>
      <c r="V107">
        <v>0.92398808612150196</v>
      </c>
      <c r="W107">
        <v>1</v>
      </c>
      <c r="X107">
        <v>0.53483606557376995</v>
      </c>
      <c r="Y107">
        <v>0.53483606557376995</v>
      </c>
      <c r="Z107">
        <v>0.53483606557376995</v>
      </c>
      <c r="AA107">
        <v>0.91177446065942702</v>
      </c>
      <c r="AB107">
        <v>0.850232914170029</v>
      </c>
      <c r="AC107">
        <v>0.96279031084596101</v>
      </c>
      <c r="AD107">
        <v>0.95806426080809104</v>
      </c>
      <c r="AE107">
        <v>0.92965454244200396</v>
      </c>
      <c r="AF107">
        <v>0.98220305762446103</v>
      </c>
      <c r="AG107">
        <v>0.96735673978547398</v>
      </c>
      <c r="AH107">
        <v>0.92743894975749597</v>
      </c>
      <c r="AI107">
        <v>1</v>
      </c>
      <c r="AJ107">
        <v>200</v>
      </c>
      <c r="AK107">
        <v>103</v>
      </c>
      <c r="AL107">
        <v>97</v>
      </c>
      <c r="AM107">
        <v>97</v>
      </c>
      <c r="AN107">
        <v>0</v>
      </c>
      <c r="AO107">
        <v>3</v>
      </c>
      <c r="AP107">
        <v>0</v>
      </c>
      <c r="AQ107">
        <v>0</v>
      </c>
      <c r="AR107">
        <v>6</v>
      </c>
      <c r="AS107">
        <v>0</v>
      </c>
      <c r="AT107">
        <v>94</v>
      </c>
      <c r="AU107">
        <v>99</v>
      </c>
      <c r="AV107">
        <v>1</v>
      </c>
      <c r="AW107">
        <v>5</v>
      </c>
      <c r="AX107">
        <v>95</v>
      </c>
      <c r="AY107">
        <v>0.94</v>
      </c>
      <c r="AZ107">
        <v>0.88953605141594705</v>
      </c>
      <c r="BA107">
        <v>0.97998398718975199</v>
      </c>
      <c r="BB107">
        <v>618.5</v>
      </c>
      <c r="BC107">
        <v>857.28499999999997</v>
      </c>
      <c r="BD107">
        <v>100</v>
      </c>
      <c r="BE107">
        <v>100</v>
      </c>
      <c r="BF107">
        <v>0.91482394702572001</v>
      </c>
      <c r="BG107">
        <v>0.99377002846169404</v>
      </c>
      <c r="BH107">
        <v>0.87397006541917699</v>
      </c>
      <c r="BI107">
        <v>0.97766511392868405</v>
      </c>
      <c r="BJ107">
        <v>0.91482394702572001</v>
      </c>
      <c r="BK107">
        <v>0.87397006541917699</v>
      </c>
      <c r="BL107">
        <v>1</v>
      </c>
      <c r="BM107">
        <v>0.98076923076923095</v>
      </c>
      <c r="BN107">
        <v>1</v>
      </c>
      <c r="BO107" t="s">
        <v>84</v>
      </c>
      <c r="BP107" t="s">
        <v>127</v>
      </c>
      <c r="BQ107" t="s">
        <v>206</v>
      </c>
      <c r="BR107" t="s">
        <v>89</v>
      </c>
      <c r="BS107" t="s">
        <v>86</v>
      </c>
      <c r="BT107">
        <v>0.53500000000000003</v>
      </c>
      <c r="BU107" t="s">
        <v>229</v>
      </c>
      <c r="BV107" t="s">
        <v>235</v>
      </c>
      <c r="BW107">
        <v>0.96699999999999997</v>
      </c>
      <c r="BX107">
        <v>0.94899999999999995</v>
      </c>
      <c r="BY107">
        <v>0.96499999999999997</v>
      </c>
      <c r="BZ107">
        <v>0.95899999999999996</v>
      </c>
      <c r="CA107">
        <v>0.95799999999999996</v>
      </c>
      <c r="CB107">
        <v>0.91200000000000003</v>
      </c>
      <c r="CC107">
        <v>0.94</v>
      </c>
    </row>
    <row r="108" spans="1:81" x14ac:dyDescent="0.2">
      <c r="A108" t="s">
        <v>80</v>
      </c>
      <c r="B108" t="s">
        <v>126</v>
      </c>
      <c r="C108" t="s">
        <v>206</v>
      </c>
      <c r="D108" t="s">
        <v>106</v>
      </c>
      <c r="E108" t="s">
        <v>89</v>
      </c>
      <c r="F108">
        <v>187</v>
      </c>
      <c r="G108">
        <v>343</v>
      </c>
      <c r="H108">
        <v>0.54518950437317804</v>
      </c>
      <c r="I108">
        <v>0.96899631560336297</v>
      </c>
      <c r="J108">
        <v>0.93882237699158799</v>
      </c>
      <c r="K108">
        <v>0.99105324102479397</v>
      </c>
      <c r="L108">
        <v>0.95636363636363597</v>
      </c>
      <c r="M108">
        <v>0.90471560525036498</v>
      </c>
      <c r="N108">
        <v>0.99124173780183999</v>
      </c>
      <c r="O108">
        <v>0.97894736842105301</v>
      </c>
      <c r="P108">
        <v>0.94505494505494503</v>
      </c>
      <c r="Q108">
        <v>1</v>
      </c>
      <c r="R108">
        <v>0.98196719416476896</v>
      </c>
      <c r="S108">
        <v>0.95428234719307004</v>
      </c>
      <c r="T108">
        <v>1</v>
      </c>
      <c r="U108">
        <v>0.94927763819095501</v>
      </c>
      <c r="V108">
        <v>0.89570892051482898</v>
      </c>
      <c r="W108">
        <v>0.98943002125249202</v>
      </c>
      <c r="X108">
        <v>0.54518950437317804</v>
      </c>
      <c r="Y108">
        <v>0.54518950437317804</v>
      </c>
      <c r="Z108">
        <v>0.54518950437317804</v>
      </c>
      <c r="AA108">
        <v>0.93327570409348004</v>
      </c>
      <c r="AB108">
        <v>0.87337194001028895</v>
      </c>
      <c r="AC108">
        <v>0.98040077512725499</v>
      </c>
      <c r="AD108">
        <v>0.96521741465631405</v>
      </c>
      <c r="AE108">
        <v>0.93177991438440899</v>
      </c>
      <c r="AF108">
        <v>0.99013289766832502</v>
      </c>
      <c r="AG108">
        <v>0.94902946621907802</v>
      </c>
      <c r="AH108">
        <v>0.89037293837797304</v>
      </c>
      <c r="AI108">
        <v>0.98971323450396798</v>
      </c>
      <c r="AJ108">
        <v>200</v>
      </c>
      <c r="AK108">
        <v>103</v>
      </c>
      <c r="AL108">
        <v>97</v>
      </c>
      <c r="AM108">
        <v>97</v>
      </c>
      <c r="AN108">
        <v>4</v>
      </c>
      <c r="AO108">
        <v>3</v>
      </c>
      <c r="AP108">
        <v>1</v>
      </c>
      <c r="AQ108">
        <v>0</v>
      </c>
      <c r="AR108">
        <v>2</v>
      </c>
      <c r="AS108">
        <v>0</v>
      </c>
      <c r="AT108">
        <v>93</v>
      </c>
      <c r="AU108">
        <v>99</v>
      </c>
      <c r="AV108">
        <v>1</v>
      </c>
      <c r="AW108">
        <v>5</v>
      </c>
      <c r="AX108">
        <v>95</v>
      </c>
      <c r="AY108">
        <v>0.94</v>
      </c>
      <c r="AZ108">
        <v>0.88951386098834895</v>
      </c>
      <c r="BA108">
        <v>0.97999399819945998</v>
      </c>
      <c r="BB108">
        <v>618.5</v>
      </c>
      <c r="BC108">
        <v>857.28499999999997</v>
      </c>
      <c r="BD108">
        <v>105</v>
      </c>
      <c r="BE108">
        <v>95</v>
      </c>
      <c r="BF108">
        <v>0.89236543421393899</v>
      </c>
      <c r="BG108">
        <v>0.98435970786082605</v>
      </c>
      <c r="BH108">
        <v>0.92601345257117296</v>
      </c>
      <c r="BI108">
        <v>0.99744018201393803</v>
      </c>
      <c r="BJ108">
        <v>0.89236543421393899</v>
      </c>
      <c r="BK108">
        <v>0.92601345257117296</v>
      </c>
      <c r="BL108">
        <v>0.99124173780183999</v>
      </c>
      <c r="BM108">
        <v>1</v>
      </c>
      <c r="BN108">
        <v>1</v>
      </c>
      <c r="BO108" t="s">
        <v>84</v>
      </c>
      <c r="BP108" t="s">
        <v>127</v>
      </c>
      <c r="BQ108" t="s">
        <v>206</v>
      </c>
      <c r="BR108" t="s">
        <v>106</v>
      </c>
      <c r="BS108" t="s">
        <v>86</v>
      </c>
      <c r="BT108">
        <v>0.54500000000000004</v>
      </c>
      <c r="BU108" t="s">
        <v>236</v>
      </c>
      <c r="BV108" t="s">
        <v>212</v>
      </c>
      <c r="BW108">
        <v>0.94899999999999995</v>
      </c>
      <c r="BX108">
        <v>0.98199999999999998</v>
      </c>
      <c r="BY108">
        <v>0.94899999999999995</v>
      </c>
      <c r="BZ108">
        <v>0.96899999999999997</v>
      </c>
      <c r="CA108">
        <v>0.96499999999999997</v>
      </c>
      <c r="CB108">
        <v>0.93300000000000005</v>
      </c>
      <c r="CC108">
        <v>0.94</v>
      </c>
    </row>
    <row r="109" spans="1:81" x14ac:dyDescent="0.2">
      <c r="A109" t="s">
        <v>80</v>
      </c>
      <c r="B109" t="s">
        <v>126</v>
      </c>
      <c r="C109" t="s">
        <v>206</v>
      </c>
      <c r="D109" t="s">
        <v>108</v>
      </c>
      <c r="E109" t="s">
        <v>89</v>
      </c>
      <c r="F109">
        <v>172</v>
      </c>
      <c r="G109">
        <v>343</v>
      </c>
      <c r="H109">
        <v>0.50145772594752203</v>
      </c>
      <c r="I109">
        <v>0.94914062306376901</v>
      </c>
      <c r="J109">
        <v>0.92121750390964796</v>
      </c>
      <c r="K109">
        <v>0.97682898112630401</v>
      </c>
      <c r="L109">
        <v>0.97938144329896903</v>
      </c>
      <c r="M109">
        <v>0.94680851063829796</v>
      </c>
      <c r="N109">
        <v>1</v>
      </c>
      <c r="O109">
        <v>0.91516569200779696</v>
      </c>
      <c r="P109">
        <v>0.86246741629989798</v>
      </c>
      <c r="Q109">
        <v>0.96808510638297895</v>
      </c>
      <c r="R109">
        <v>0.92071138571759104</v>
      </c>
      <c r="S109">
        <v>0.87746569188874102</v>
      </c>
      <c r="T109">
        <v>0.96866577283747302</v>
      </c>
      <c r="U109">
        <v>0.97784055333340802</v>
      </c>
      <c r="V109">
        <v>0.94459988466482803</v>
      </c>
      <c r="W109">
        <v>1</v>
      </c>
      <c r="X109">
        <v>0.50145772594752203</v>
      </c>
      <c r="Y109">
        <v>0.50145772594752203</v>
      </c>
      <c r="Z109">
        <v>0.50145772594752203</v>
      </c>
      <c r="AA109">
        <v>0.896547301040169</v>
      </c>
      <c r="AB109">
        <v>0.83931028677614194</v>
      </c>
      <c r="AC109">
        <v>0.95334972258601203</v>
      </c>
      <c r="AD109">
        <v>0.94984196245914099</v>
      </c>
      <c r="AE109">
        <v>0.92288627748841301</v>
      </c>
      <c r="AF109">
        <v>0.97686292171048605</v>
      </c>
      <c r="AG109">
        <v>0.980876103056602</v>
      </c>
      <c r="AH109">
        <v>0.95056191103570897</v>
      </c>
      <c r="AI109">
        <v>1</v>
      </c>
      <c r="AJ109">
        <v>200</v>
      </c>
      <c r="AK109">
        <v>103</v>
      </c>
      <c r="AL109">
        <v>97</v>
      </c>
      <c r="AM109">
        <v>95</v>
      </c>
      <c r="AN109">
        <v>0</v>
      </c>
      <c r="AO109">
        <v>2</v>
      </c>
      <c r="AP109">
        <v>0</v>
      </c>
      <c r="AQ109">
        <v>2</v>
      </c>
      <c r="AR109">
        <v>6</v>
      </c>
      <c r="AS109">
        <v>1</v>
      </c>
      <c r="AT109">
        <v>94</v>
      </c>
      <c r="AU109">
        <v>99</v>
      </c>
      <c r="AV109">
        <v>1</v>
      </c>
      <c r="AW109">
        <v>5</v>
      </c>
      <c r="AX109">
        <v>95</v>
      </c>
      <c r="AY109">
        <v>0.94</v>
      </c>
      <c r="AZ109">
        <v>0.889669007021063</v>
      </c>
      <c r="BA109">
        <v>0.97999199679871996</v>
      </c>
      <c r="BB109">
        <v>618.5</v>
      </c>
      <c r="BC109">
        <v>857.28499999999997</v>
      </c>
      <c r="BD109">
        <v>97</v>
      </c>
      <c r="BE109">
        <v>103</v>
      </c>
      <c r="BF109">
        <v>0.92749785007360896</v>
      </c>
      <c r="BG109">
        <v>0.997493170236183</v>
      </c>
      <c r="BH109">
        <v>0.84060080954449501</v>
      </c>
      <c r="BI109">
        <v>0.95926357335329504</v>
      </c>
      <c r="BJ109">
        <v>0.92749785007360896</v>
      </c>
      <c r="BK109">
        <v>0.84060080954449501</v>
      </c>
      <c r="BL109">
        <v>1</v>
      </c>
      <c r="BM109">
        <v>0.96808510638297895</v>
      </c>
      <c r="BN109">
        <v>1</v>
      </c>
      <c r="BO109" t="s">
        <v>84</v>
      </c>
      <c r="BP109" t="s">
        <v>127</v>
      </c>
      <c r="BQ109" t="s">
        <v>206</v>
      </c>
      <c r="BR109" t="s">
        <v>108</v>
      </c>
      <c r="BS109" t="s">
        <v>86</v>
      </c>
      <c r="BT109">
        <v>0.501</v>
      </c>
      <c r="BU109" t="s">
        <v>212</v>
      </c>
      <c r="BV109" t="s">
        <v>237</v>
      </c>
      <c r="BW109">
        <v>0.98099999999999998</v>
      </c>
      <c r="BX109">
        <v>0.92100000000000004</v>
      </c>
      <c r="BY109">
        <v>0.97799999999999998</v>
      </c>
      <c r="BZ109">
        <v>0.94899999999999995</v>
      </c>
      <c r="CA109">
        <v>0.95</v>
      </c>
      <c r="CB109">
        <v>0.89700000000000002</v>
      </c>
      <c r="CC109">
        <v>0.94</v>
      </c>
    </row>
    <row r="110" spans="1:81" x14ac:dyDescent="0.2">
      <c r="A110" t="s">
        <v>80</v>
      </c>
      <c r="B110" t="s">
        <v>126</v>
      </c>
      <c r="C110" t="s">
        <v>206</v>
      </c>
      <c r="D110" t="s">
        <v>120</v>
      </c>
      <c r="E110" t="s">
        <v>89</v>
      </c>
      <c r="F110" t="s">
        <v>93</v>
      </c>
      <c r="G110" t="s">
        <v>93</v>
      </c>
      <c r="H110">
        <v>0.53135245901639305</v>
      </c>
      <c r="I110">
        <v>0.97713319013857003</v>
      </c>
      <c r="J110">
        <v>0.95452927785035102</v>
      </c>
      <c r="K110">
        <v>0.99526257772033599</v>
      </c>
      <c r="L110">
        <v>0.99124566139606596</v>
      </c>
      <c r="M110">
        <v>0.97140419893915098</v>
      </c>
      <c r="N110">
        <v>1</v>
      </c>
      <c r="O110">
        <v>0.95732400524704797</v>
      </c>
      <c r="P110">
        <v>0.91254371423944902</v>
      </c>
      <c r="Q110">
        <v>0.99048433614812703</v>
      </c>
      <c r="R110">
        <v>0.96341691967465004</v>
      </c>
      <c r="S110">
        <v>0.92544305622772804</v>
      </c>
      <c r="T110">
        <v>0.99197720270749501</v>
      </c>
      <c r="U110">
        <v>0.98973825776411595</v>
      </c>
      <c r="V110">
        <v>0.96589295592343305</v>
      </c>
      <c r="W110">
        <v>1</v>
      </c>
      <c r="X110">
        <v>0.53135245901639305</v>
      </c>
      <c r="Y110">
        <v>0.50115163975911803</v>
      </c>
      <c r="Z110">
        <v>0.56137814220554805</v>
      </c>
      <c r="AA110">
        <v>0.95085965784770199</v>
      </c>
      <c r="AB110">
        <v>0.90277812082785702</v>
      </c>
      <c r="AC110">
        <v>0.989803823076288</v>
      </c>
      <c r="AD110">
        <v>0.97674409920709104</v>
      </c>
      <c r="AE110">
        <v>0.95412823892814103</v>
      </c>
      <c r="AF110">
        <v>0.99504581860705499</v>
      </c>
      <c r="AG110">
        <v>0.99044516702983898</v>
      </c>
      <c r="AH110">
        <v>0.96740648677979602</v>
      </c>
      <c r="AI110">
        <v>1</v>
      </c>
      <c r="AJ110">
        <v>200</v>
      </c>
      <c r="AK110">
        <v>103</v>
      </c>
      <c r="AL110">
        <v>97</v>
      </c>
      <c r="AM110">
        <v>95</v>
      </c>
      <c r="AN110">
        <v>4</v>
      </c>
      <c r="AO110">
        <v>0</v>
      </c>
      <c r="AP110">
        <v>1</v>
      </c>
      <c r="AQ110">
        <v>2</v>
      </c>
      <c r="AR110">
        <v>2</v>
      </c>
      <c r="AS110">
        <v>3</v>
      </c>
      <c r="AT110">
        <v>93</v>
      </c>
      <c r="AU110">
        <v>99</v>
      </c>
      <c r="AV110">
        <v>1</v>
      </c>
      <c r="AW110">
        <v>5</v>
      </c>
      <c r="AX110">
        <v>95</v>
      </c>
      <c r="AY110">
        <v>0.94</v>
      </c>
      <c r="AZ110">
        <v>0.88922401411005203</v>
      </c>
      <c r="BA110">
        <v>0.97999399819945998</v>
      </c>
      <c r="BB110">
        <v>618.5</v>
      </c>
      <c r="BC110">
        <v>857.28499999999997</v>
      </c>
      <c r="BD110">
        <v>100</v>
      </c>
      <c r="BE110">
        <v>100</v>
      </c>
      <c r="BF110">
        <v>0.94554061460791905</v>
      </c>
      <c r="BG110">
        <v>0.99974685396702301</v>
      </c>
      <c r="BH110">
        <v>0.90074284328734</v>
      </c>
      <c r="BI110">
        <v>0.98899550601381203</v>
      </c>
      <c r="BJ110">
        <v>0.94554061460791905</v>
      </c>
      <c r="BK110">
        <v>0.90074284328734</v>
      </c>
      <c r="BL110">
        <v>1</v>
      </c>
      <c r="BM110">
        <v>0.99048433614812703</v>
      </c>
      <c r="BN110">
        <v>1</v>
      </c>
      <c r="BO110" t="s">
        <v>84</v>
      </c>
      <c r="BP110" t="s">
        <v>127</v>
      </c>
      <c r="BQ110" t="s">
        <v>206</v>
      </c>
      <c r="BR110" t="s">
        <v>120</v>
      </c>
      <c r="BS110" t="s">
        <v>86</v>
      </c>
      <c r="BT110">
        <v>0.53100000000000003</v>
      </c>
      <c r="BU110" t="s">
        <v>180</v>
      </c>
      <c r="BV110" t="s">
        <v>238</v>
      </c>
      <c r="BW110">
        <v>0.99</v>
      </c>
      <c r="BX110">
        <v>0.96299999999999997</v>
      </c>
      <c r="BY110">
        <v>0.99</v>
      </c>
      <c r="BZ110">
        <v>0.97699999999999998</v>
      </c>
      <c r="CA110">
        <v>0.97699999999999998</v>
      </c>
      <c r="CB110">
        <v>0.95099999999999996</v>
      </c>
      <c r="CC110">
        <v>0.94</v>
      </c>
    </row>
    <row r="111" spans="1:81" x14ac:dyDescent="0.2">
      <c r="A111" t="s">
        <v>80</v>
      </c>
      <c r="B111" t="s">
        <v>126</v>
      </c>
      <c r="C111" t="s">
        <v>206</v>
      </c>
      <c r="D111" t="s">
        <v>123</v>
      </c>
      <c r="E111" t="s">
        <v>89</v>
      </c>
      <c r="F111" t="s">
        <v>93</v>
      </c>
      <c r="G111" t="s">
        <v>93</v>
      </c>
      <c r="H111">
        <v>0.55204918032786898</v>
      </c>
      <c r="I111">
        <v>0.99513232249762196</v>
      </c>
      <c r="J111">
        <v>0.98400300944695196</v>
      </c>
      <c r="K111">
        <v>1</v>
      </c>
      <c r="L111">
        <v>0.99031180400890895</v>
      </c>
      <c r="M111">
        <v>0.96850976784033904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0.98820125672437997</v>
      </c>
      <c r="V111">
        <v>0.96228059948662004</v>
      </c>
      <c r="W111">
        <v>1</v>
      </c>
      <c r="X111">
        <v>0.55204918032786898</v>
      </c>
      <c r="Y111">
        <v>0.52659589594991796</v>
      </c>
      <c r="Z111">
        <v>0.57851198851030305</v>
      </c>
      <c r="AA111">
        <v>0.98925596751831202</v>
      </c>
      <c r="AB111">
        <v>0.96571417713920005</v>
      </c>
      <c r="AC111">
        <v>1</v>
      </c>
      <c r="AD111">
        <v>0.99400791121999699</v>
      </c>
      <c r="AE111">
        <v>0.98017471161817105</v>
      </c>
      <c r="AF111">
        <v>1</v>
      </c>
      <c r="AG111">
        <v>0.98808720496545899</v>
      </c>
      <c r="AH111">
        <v>0.96112022599703395</v>
      </c>
      <c r="AI111">
        <v>1</v>
      </c>
      <c r="AJ111">
        <v>200</v>
      </c>
      <c r="AK111">
        <v>103</v>
      </c>
      <c r="AL111">
        <v>97</v>
      </c>
      <c r="AM111">
        <v>97</v>
      </c>
      <c r="AN111">
        <v>6</v>
      </c>
      <c r="AO111">
        <v>1</v>
      </c>
      <c r="AP111">
        <v>0</v>
      </c>
      <c r="AQ111">
        <v>0</v>
      </c>
      <c r="AR111">
        <v>0</v>
      </c>
      <c r="AS111">
        <v>2</v>
      </c>
      <c r="AT111">
        <v>94</v>
      </c>
      <c r="AU111">
        <v>99</v>
      </c>
      <c r="AV111">
        <v>1</v>
      </c>
      <c r="AW111">
        <v>5</v>
      </c>
      <c r="AX111">
        <v>95</v>
      </c>
      <c r="AY111">
        <v>0.94</v>
      </c>
      <c r="AZ111">
        <v>0.88960256924929704</v>
      </c>
      <c r="BA111">
        <v>0.97999399819945998</v>
      </c>
      <c r="BB111">
        <v>618.5</v>
      </c>
      <c r="BC111">
        <v>857.28499999999997</v>
      </c>
      <c r="BD111">
        <v>104</v>
      </c>
      <c r="BE111">
        <v>96</v>
      </c>
      <c r="BF111">
        <v>0.94758930029677202</v>
      </c>
      <c r="BG111">
        <v>0.99975658916783705</v>
      </c>
      <c r="BH111">
        <v>0.96230307837641205</v>
      </c>
      <c r="BI111">
        <v>1</v>
      </c>
      <c r="BJ111">
        <v>0.94758930029677202</v>
      </c>
      <c r="BK111">
        <v>0.96230307837641205</v>
      </c>
      <c r="BL111">
        <v>1</v>
      </c>
      <c r="BM111">
        <v>1</v>
      </c>
      <c r="BN111">
        <v>1</v>
      </c>
      <c r="BO111" t="s">
        <v>84</v>
      </c>
      <c r="BP111" t="s">
        <v>127</v>
      </c>
      <c r="BQ111" t="s">
        <v>206</v>
      </c>
      <c r="BR111" t="s">
        <v>123</v>
      </c>
      <c r="BS111" t="s">
        <v>86</v>
      </c>
      <c r="BT111">
        <v>0.55200000000000005</v>
      </c>
      <c r="BU111" t="s">
        <v>186</v>
      </c>
      <c r="BV111" t="s">
        <v>213</v>
      </c>
      <c r="BW111">
        <v>0.98799999999999999</v>
      </c>
      <c r="BX111">
        <v>1</v>
      </c>
      <c r="BY111">
        <v>0.98799999999999999</v>
      </c>
      <c r="BZ111">
        <v>0.995</v>
      </c>
      <c r="CA111">
        <v>0.99399999999999999</v>
      </c>
      <c r="CB111">
        <v>0.98899999999999999</v>
      </c>
      <c r="CC111">
        <v>0.94</v>
      </c>
    </row>
    <row r="112" spans="1:81" x14ac:dyDescent="0.2">
      <c r="A112" t="s">
        <v>166</v>
      </c>
      <c r="B112" t="s">
        <v>126</v>
      </c>
      <c r="C112" t="s">
        <v>206</v>
      </c>
      <c r="D112" t="s">
        <v>83</v>
      </c>
      <c r="E112" t="s">
        <v>89</v>
      </c>
      <c r="F112">
        <v>870</v>
      </c>
      <c r="G112">
        <v>1000</v>
      </c>
      <c r="H112">
        <v>0.87</v>
      </c>
      <c r="I112">
        <v>0.9930603727142</v>
      </c>
      <c r="J112">
        <v>0.98099845883349002</v>
      </c>
      <c r="K112">
        <v>0.99942495687176502</v>
      </c>
      <c r="L112">
        <v>0.98773563218390803</v>
      </c>
      <c r="M112">
        <v>0.96474683801716199</v>
      </c>
      <c r="N112">
        <v>1</v>
      </c>
      <c r="O112">
        <v>0.98969072164948502</v>
      </c>
      <c r="P112">
        <v>0.96628255873340196</v>
      </c>
      <c r="Q112">
        <v>1</v>
      </c>
      <c r="R112">
        <v>0.99844283422856395</v>
      </c>
      <c r="S112">
        <v>0.99489000089447399</v>
      </c>
      <c r="T112">
        <v>1</v>
      </c>
      <c r="U112">
        <v>0.92341910722834397</v>
      </c>
      <c r="V112">
        <v>0.80632796710572197</v>
      </c>
      <c r="W112">
        <v>1</v>
      </c>
      <c r="X112">
        <v>0.87</v>
      </c>
      <c r="Y112">
        <v>0.87</v>
      </c>
      <c r="Z112">
        <v>0.87</v>
      </c>
      <c r="AA112">
        <v>0.94923767106873602</v>
      </c>
      <c r="AB112">
        <v>0.874240488694913</v>
      </c>
      <c r="AC112">
        <v>0.99560321472222002</v>
      </c>
      <c r="AD112">
        <v>0.95945062155730498</v>
      </c>
      <c r="AE112">
        <v>0.89059619412876401</v>
      </c>
      <c r="AF112">
        <v>0.99927516030108698</v>
      </c>
      <c r="AG112">
        <v>0.92338946978194403</v>
      </c>
      <c r="AH112">
        <v>0.80350604238837697</v>
      </c>
      <c r="AI112">
        <v>1</v>
      </c>
      <c r="AJ112">
        <v>200</v>
      </c>
      <c r="AK112">
        <v>101</v>
      </c>
      <c r="AL112">
        <v>99</v>
      </c>
      <c r="AM112">
        <v>99</v>
      </c>
      <c r="AN112">
        <v>1</v>
      </c>
      <c r="AO112">
        <v>1</v>
      </c>
      <c r="AP112">
        <v>2</v>
      </c>
      <c r="AQ112">
        <v>0</v>
      </c>
      <c r="AR112">
        <v>1</v>
      </c>
      <c r="AS112">
        <v>0</v>
      </c>
      <c r="AT112">
        <v>96</v>
      </c>
      <c r="AU112">
        <v>95</v>
      </c>
      <c r="AV112">
        <v>8</v>
      </c>
      <c r="AW112">
        <v>0</v>
      </c>
      <c r="AX112">
        <v>97</v>
      </c>
      <c r="AY112">
        <v>0.92011982026959604</v>
      </c>
      <c r="AZ112">
        <v>0.86055776892430302</v>
      </c>
      <c r="BA112">
        <v>0.96996996996996998</v>
      </c>
      <c r="BB112">
        <v>328</v>
      </c>
      <c r="BC112">
        <v>537.63</v>
      </c>
      <c r="BD112">
        <v>103</v>
      </c>
      <c r="BE112">
        <v>97</v>
      </c>
      <c r="BF112">
        <v>0.94709171325979602</v>
      </c>
      <c r="BG112">
        <v>0.99975422624630605</v>
      </c>
      <c r="BH112">
        <v>0.94389584589490805</v>
      </c>
      <c r="BI112">
        <v>0.99973902572997597</v>
      </c>
      <c r="BJ112">
        <v>0.94709171325979602</v>
      </c>
      <c r="BK112">
        <v>0.94389584589490805</v>
      </c>
      <c r="BL112">
        <v>1</v>
      </c>
      <c r="BM112">
        <v>1</v>
      </c>
      <c r="BN112">
        <v>3</v>
      </c>
      <c r="BO112" t="s">
        <v>167</v>
      </c>
      <c r="BP112" t="s">
        <v>127</v>
      </c>
      <c r="BQ112" t="s">
        <v>206</v>
      </c>
      <c r="BR112" t="s">
        <v>83</v>
      </c>
      <c r="BS112" t="s">
        <v>86</v>
      </c>
      <c r="BT112">
        <v>0.87</v>
      </c>
      <c r="BU112" t="s">
        <v>157</v>
      </c>
      <c r="BV112" t="s">
        <v>211</v>
      </c>
      <c r="BW112">
        <v>0.92300000000000004</v>
      </c>
      <c r="BX112">
        <v>0.998</v>
      </c>
      <c r="BY112">
        <v>0.92300000000000004</v>
      </c>
      <c r="BZ112">
        <v>0.99299999999999999</v>
      </c>
      <c r="CA112">
        <v>0.95899999999999996</v>
      </c>
      <c r="CB112">
        <v>0.94899999999999995</v>
      </c>
      <c r="CC112">
        <v>0.92</v>
      </c>
    </row>
    <row r="113" spans="1:81" x14ac:dyDescent="0.2">
      <c r="A113" t="s">
        <v>166</v>
      </c>
      <c r="B113" t="s">
        <v>126</v>
      </c>
      <c r="C113" t="s">
        <v>206</v>
      </c>
      <c r="D113" t="s">
        <v>89</v>
      </c>
      <c r="E113" t="s">
        <v>89</v>
      </c>
      <c r="F113">
        <v>875</v>
      </c>
      <c r="G113">
        <v>1000</v>
      </c>
      <c r="H113">
        <v>0.875</v>
      </c>
      <c r="I113">
        <v>0.99354838709677396</v>
      </c>
      <c r="J113">
        <v>0.98157220186114202</v>
      </c>
      <c r="K113">
        <v>1</v>
      </c>
      <c r="L113">
        <v>0.99</v>
      </c>
      <c r="M113">
        <v>0.96739130434782605</v>
      </c>
      <c r="N113">
        <v>1</v>
      </c>
      <c r="O113">
        <v>0.98</v>
      </c>
      <c r="P113">
        <v>0.94897959183673497</v>
      </c>
      <c r="Q113">
        <v>1</v>
      </c>
      <c r="R113">
        <v>0.99712230215827302</v>
      </c>
      <c r="S113">
        <v>0.99269299100234998</v>
      </c>
      <c r="T113">
        <v>1</v>
      </c>
      <c r="U113">
        <v>0.93333333333333302</v>
      </c>
      <c r="V113">
        <v>0.81108482832919604</v>
      </c>
      <c r="W113">
        <v>1</v>
      </c>
      <c r="X113">
        <v>0.875</v>
      </c>
      <c r="Y113">
        <v>0.875</v>
      </c>
      <c r="Z113">
        <v>0.875</v>
      </c>
      <c r="AA113">
        <v>0.95002208733631999</v>
      </c>
      <c r="AB113">
        <v>0.87031611564140499</v>
      </c>
      <c r="AC113">
        <v>1</v>
      </c>
      <c r="AD113">
        <v>0.96460404739755101</v>
      </c>
      <c r="AE113">
        <v>0.89321876313402104</v>
      </c>
      <c r="AF113">
        <v>1</v>
      </c>
      <c r="AG113">
        <v>0.93413978494623695</v>
      </c>
      <c r="AH113">
        <v>0.80930187863354597</v>
      </c>
      <c r="AI113">
        <v>1</v>
      </c>
      <c r="AJ113">
        <v>200</v>
      </c>
      <c r="AK113">
        <v>101</v>
      </c>
      <c r="AL113">
        <v>99</v>
      </c>
      <c r="AM113">
        <v>99</v>
      </c>
      <c r="AN113">
        <v>0</v>
      </c>
      <c r="AO113">
        <v>1</v>
      </c>
      <c r="AP113">
        <v>0</v>
      </c>
      <c r="AQ113">
        <v>0</v>
      </c>
      <c r="AR113">
        <v>2</v>
      </c>
      <c r="AS113">
        <v>0</v>
      </c>
      <c r="AT113">
        <v>98</v>
      </c>
      <c r="AU113">
        <v>95</v>
      </c>
      <c r="AV113">
        <v>8</v>
      </c>
      <c r="AW113">
        <v>0</v>
      </c>
      <c r="AX113">
        <v>97</v>
      </c>
      <c r="AY113">
        <v>0.92011982026959604</v>
      </c>
      <c r="AZ113">
        <v>0.86046048041463197</v>
      </c>
      <c r="BA113">
        <v>0.96994590262472402</v>
      </c>
      <c r="BB113">
        <v>328</v>
      </c>
      <c r="BC113">
        <v>537.63</v>
      </c>
      <c r="BD113">
        <v>100</v>
      </c>
      <c r="BE113">
        <v>100</v>
      </c>
      <c r="BF113">
        <v>0.94554061460791905</v>
      </c>
      <c r="BG113">
        <v>0.99974685396702301</v>
      </c>
      <c r="BH113">
        <v>0.92961606752893</v>
      </c>
      <c r="BI113">
        <v>0.99756866317605697</v>
      </c>
      <c r="BJ113">
        <v>0.94554061460791905</v>
      </c>
      <c r="BK113">
        <v>0.92961606752893</v>
      </c>
      <c r="BL113">
        <v>1</v>
      </c>
      <c r="BM113">
        <v>1</v>
      </c>
      <c r="BN113">
        <v>3</v>
      </c>
      <c r="BO113" t="s">
        <v>167</v>
      </c>
      <c r="BP113" t="s">
        <v>127</v>
      </c>
      <c r="BQ113" t="s">
        <v>206</v>
      </c>
      <c r="BR113" t="s">
        <v>89</v>
      </c>
      <c r="BS113" t="s">
        <v>86</v>
      </c>
      <c r="BT113">
        <v>0.875</v>
      </c>
      <c r="BU113" t="s">
        <v>186</v>
      </c>
      <c r="BV113" t="s">
        <v>200</v>
      </c>
      <c r="BW113">
        <v>0.93400000000000005</v>
      </c>
      <c r="BX113">
        <v>0.997</v>
      </c>
      <c r="BY113">
        <v>0.93300000000000005</v>
      </c>
      <c r="BZ113">
        <v>0.99399999999999999</v>
      </c>
      <c r="CA113">
        <v>0.96499999999999997</v>
      </c>
      <c r="CB113">
        <v>0.95</v>
      </c>
      <c r="CC113">
        <v>0.92</v>
      </c>
    </row>
    <row r="114" spans="1:81" x14ac:dyDescent="0.2">
      <c r="A114" t="s">
        <v>166</v>
      </c>
      <c r="B114" t="s">
        <v>126</v>
      </c>
      <c r="C114" t="s">
        <v>206</v>
      </c>
      <c r="D114" t="s">
        <v>106</v>
      </c>
      <c r="E114" t="s">
        <v>89</v>
      </c>
      <c r="F114">
        <v>878</v>
      </c>
      <c r="G114">
        <v>1000</v>
      </c>
      <c r="H114">
        <v>0.878</v>
      </c>
      <c r="I114">
        <v>0.99008699400517097</v>
      </c>
      <c r="J114">
        <v>0.97760548714054696</v>
      </c>
      <c r="K114">
        <v>0.99930572153742803</v>
      </c>
      <c r="L114">
        <v>0.98177296886864096</v>
      </c>
      <c r="M114">
        <v>0.95784738041002304</v>
      </c>
      <c r="N114">
        <v>1</v>
      </c>
      <c r="O114">
        <v>0.98969072164948502</v>
      </c>
      <c r="P114">
        <v>0.96666666666666701</v>
      </c>
      <c r="Q114">
        <v>1</v>
      </c>
      <c r="R114">
        <v>0.99854303440473002</v>
      </c>
      <c r="S114">
        <v>0.99531771644408096</v>
      </c>
      <c r="T114">
        <v>1</v>
      </c>
      <c r="U114">
        <v>0.88297003214386804</v>
      </c>
      <c r="V114">
        <v>0.76486853148956702</v>
      </c>
      <c r="W114">
        <v>1</v>
      </c>
      <c r="X114">
        <v>0.878</v>
      </c>
      <c r="Y114">
        <v>0.878</v>
      </c>
      <c r="Z114">
        <v>0.878</v>
      </c>
      <c r="AA114">
        <v>0.92539609728442795</v>
      </c>
      <c r="AB114">
        <v>0.84909751225362695</v>
      </c>
      <c r="AC114">
        <v>0.994296878395312</v>
      </c>
      <c r="AD114">
        <v>0.93682317176350105</v>
      </c>
      <c r="AE114">
        <v>0.86287832912349105</v>
      </c>
      <c r="AF114">
        <v>0.99930572153742803</v>
      </c>
      <c r="AG114">
        <v>0.88228896365204101</v>
      </c>
      <c r="AH114">
        <v>0.75974100608212602</v>
      </c>
      <c r="AI114">
        <v>1</v>
      </c>
      <c r="AJ114">
        <v>200</v>
      </c>
      <c r="AK114">
        <v>101</v>
      </c>
      <c r="AL114">
        <v>99</v>
      </c>
      <c r="AM114">
        <v>99</v>
      </c>
      <c r="AN114">
        <v>1</v>
      </c>
      <c r="AO114">
        <v>1</v>
      </c>
      <c r="AP114">
        <v>2</v>
      </c>
      <c r="AQ114">
        <v>0</v>
      </c>
      <c r="AR114">
        <v>1</v>
      </c>
      <c r="AS114">
        <v>0</v>
      </c>
      <c r="AT114">
        <v>96</v>
      </c>
      <c r="AU114">
        <v>95</v>
      </c>
      <c r="AV114">
        <v>8</v>
      </c>
      <c r="AW114">
        <v>0</v>
      </c>
      <c r="AX114">
        <v>97</v>
      </c>
      <c r="AY114">
        <v>0.92011982026959604</v>
      </c>
      <c r="AZ114">
        <v>0.86055776892430302</v>
      </c>
      <c r="BA114">
        <v>0.96994590262472402</v>
      </c>
      <c r="BB114">
        <v>328</v>
      </c>
      <c r="BC114">
        <v>537.63</v>
      </c>
      <c r="BD114">
        <v>103</v>
      </c>
      <c r="BE114">
        <v>97</v>
      </c>
      <c r="BF114">
        <v>0.931614068099619</v>
      </c>
      <c r="BG114">
        <v>0.99763974206289097</v>
      </c>
      <c r="BH114">
        <v>0.94389584589490805</v>
      </c>
      <c r="BI114">
        <v>0.99973902572997597</v>
      </c>
      <c r="BJ114">
        <v>0.931614068099619</v>
      </c>
      <c r="BK114">
        <v>0.94389584589490805</v>
      </c>
      <c r="BL114">
        <v>1</v>
      </c>
      <c r="BM114">
        <v>1</v>
      </c>
      <c r="BN114">
        <v>3</v>
      </c>
      <c r="BO114" t="s">
        <v>167</v>
      </c>
      <c r="BP114" t="s">
        <v>127</v>
      </c>
      <c r="BQ114" t="s">
        <v>206</v>
      </c>
      <c r="BR114" t="s">
        <v>106</v>
      </c>
      <c r="BS114" t="s">
        <v>86</v>
      </c>
      <c r="BT114">
        <v>0.878</v>
      </c>
      <c r="BU114" t="s">
        <v>220</v>
      </c>
      <c r="BV114" t="s">
        <v>211</v>
      </c>
      <c r="BW114">
        <v>0.88200000000000001</v>
      </c>
      <c r="BX114">
        <v>0.999</v>
      </c>
      <c r="BY114">
        <v>0.88300000000000001</v>
      </c>
      <c r="BZ114">
        <v>0.99</v>
      </c>
      <c r="CA114">
        <v>0.93700000000000006</v>
      </c>
      <c r="CB114">
        <v>0.92500000000000004</v>
      </c>
      <c r="CC114">
        <v>0.92</v>
      </c>
    </row>
    <row r="115" spans="1:81" x14ac:dyDescent="0.2">
      <c r="A115" t="s">
        <v>166</v>
      </c>
      <c r="B115" t="s">
        <v>126</v>
      </c>
      <c r="C115" t="s">
        <v>206</v>
      </c>
      <c r="D115" t="s">
        <v>108</v>
      </c>
      <c r="E115" t="s">
        <v>89</v>
      </c>
      <c r="F115">
        <v>867</v>
      </c>
      <c r="G115">
        <v>1000</v>
      </c>
      <c r="H115">
        <v>0.86699999999999999</v>
      </c>
      <c r="I115">
        <v>0.99344324909287696</v>
      </c>
      <c r="J115">
        <v>0.981461237137911</v>
      </c>
      <c r="K115">
        <v>1</v>
      </c>
      <c r="L115">
        <v>0.99</v>
      </c>
      <c r="M115">
        <v>0.96739130434782605</v>
      </c>
      <c r="N115">
        <v>1</v>
      </c>
      <c r="O115">
        <v>0.98</v>
      </c>
      <c r="P115">
        <v>0.94845360824742297</v>
      </c>
      <c r="Q115">
        <v>1</v>
      </c>
      <c r="R115">
        <v>0.99691053322338197</v>
      </c>
      <c r="S115">
        <v>0.992073480794467</v>
      </c>
      <c r="T115">
        <v>1</v>
      </c>
      <c r="U115">
        <v>0.93763038630314399</v>
      </c>
      <c r="V115">
        <v>0.82197621685201505</v>
      </c>
      <c r="W115">
        <v>1</v>
      </c>
      <c r="X115">
        <v>0.86699999999999999</v>
      </c>
      <c r="Y115">
        <v>0.86699999999999999</v>
      </c>
      <c r="Z115">
        <v>0.86699999999999999</v>
      </c>
      <c r="AA115">
        <v>0.95210539959645801</v>
      </c>
      <c r="AB115">
        <v>0.87658615475756196</v>
      </c>
      <c r="AC115">
        <v>1</v>
      </c>
      <c r="AD115">
        <v>0.96677108911572196</v>
      </c>
      <c r="AE115">
        <v>0.90007870610487195</v>
      </c>
      <c r="AF115">
        <v>1</v>
      </c>
      <c r="AG115">
        <v>0.93840056786706305</v>
      </c>
      <c r="AH115">
        <v>0.82028306820513697</v>
      </c>
      <c r="AI115">
        <v>1</v>
      </c>
      <c r="AJ115">
        <v>200</v>
      </c>
      <c r="AK115">
        <v>101</v>
      </c>
      <c r="AL115">
        <v>99</v>
      </c>
      <c r="AM115">
        <v>99</v>
      </c>
      <c r="AN115">
        <v>0</v>
      </c>
      <c r="AO115">
        <v>1</v>
      </c>
      <c r="AP115">
        <v>0</v>
      </c>
      <c r="AQ115">
        <v>0</v>
      </c>
      <c r="AR115">
        <v>2</v>
      </c>
      <c r="AS115">
        <v>0</v>
      </c>
      <c r="AT115">
        <v>98</v>
      </c>
      <c r="AU115">
        <v>95</v>
      </c>
      <c r="AV115">
        <v>8</v>
      </c>
      <c r="AW115">
        <v>0</v>
      </c>
      <c r="AX115">
        <v>97</v>
      </c>
      <c r="AY115">
        <v>0.92011982026959604</v>
      </c>
      <c r="AZ115">
        <v>0.86046048041463197</v>
      </c>
      <c r="BA115">
        <v>0.96991576413959102</v>
      </c>
      <c r="BB115">
        <v>328</v>
      </c>
      <c r="BC115">
        <v>537.63</v>
      </c>
      <c r="BD115">
        <v>100</v>
      </c>
      <c r="BE115">
        <v>100</v>
      </c>
      <c r="BF115">
        <v>0.94554061460791905</v>
      </c>
      <c r="BG115">
        <v>0.99974685396702301</v>
      </c>
      <c r="BH115">
        <v>0.92961606752893</v>
      </c>
      <c r="BI115">
        <v>0.99756866317605697</v>
      </c>
      <c r="BJ115">
        <v>0.94554061460791905</v>
      </c>
      <c r="BK115">
        <v>0.92961606752893</v>
      </c>
      <c r="BL115">
        <v>1</v>
      </c>
      <c r="BM115">
        <v>1</v>
      </c>
      <c r="BN115">
        <v>3</v>
      </c>
      <c r="BO115" t="s">
        <v>167</v>
      </c>
      <c r="BP115" t="s">
        <v>127</v>
      </c>
      <c r="BQ115" t="s">
        <v>206</v>
      </c>
      <c r="BR115" t="s">
        <v>108</v>
      </c>
      <c r="BS115" t="s">
        <v>86</v>
      </c>
      <c r="BT115">
        <v>0.86699999999999999</v>
      </c>
      <c r="BU115" t="s">
        <v>186</v>
      </c>
      <c r="BV115" t="s">
        <v>200</v>
      </c>
      <c r="BW115">
        <v>0.93799999999999994</v>
      </c>
      <c r="BX115">
        <v>0.997</v>
      </c>
      <c r="BY115">
        <v>0.93799999999999994</v>
      </c>
      <c r="BZ115">
        <v>0.99299999999999999</v>
      </c>
      <c r="CA115">
        <v>0.96699999999999997</v>
      </c>
      <c r="CB115">
        <v>0.95199999999999996</v>
      </c>
      <c r="CC115">
        <v>0.92</v>
      </c>
    </row>
    <row r="116" spans="1:81" x14ac:dyDescent="0.2">
      <c r="A116" t="s">
        <v>166</v>
      </c>
      <c r="B116" t="s">
        <v>126</v>
      </c>
      <c r="C116" t="s">
        <v>206</v>
      </c>
      <c r="D116" t="s">
        <v>120</v>
      </c>
      <c r="E116" t="s">
        <v>89</v>
      </c>
      <c r="F116" t="s">
        <v>93</v>
      </c>
      <c r="G116" t="s">
        <v>93</v>
      </c>
      <c r="H116">
        <v>0.87875000000000003</v>
      </c>
      <c r="I116">
        <v>0.99427753934191698</v>
      </c>
      <c r="J116">
        <v>0.982788884067475</v>
      </c>
      <c r="K116">
        <v>1</v>
      </c>
      <c r="L116">
        <v>0.988620199146515</v>
      </c>
      <c r="M116">
        <v>0.96616018904862799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0.92380952380952297</v>
      </c>
      <c r="V116">
        <v>0.80111467868042296</v>
      </c>
      <c r="W116">
        <v>1</v>
      </c>
      <c r="X116">
        <v>0.87875000000000003</v>
      </c>
      <c r="Y116">
        <v>0.875</v>
      </c>
      <c r="Z116">
        <v>0.88349514563106801</v>
      </c>
      <c r="AA116">
        <v>0.95566560856924099</v>
      </c>
      <c r="AB116">
        <v>0.87993064836344204</v>
      </c>
      <c r="AC116">
        <v>1</v>
      </c>
      <c r="AD116">
        <v>0.95995842055049996</v>
      </c>
      <c r="AE116">
        <v>0.88615143643013705</v>
      </c>
      <c r="AF116">
        <v>1</v>
      </c>
      <c r="AG116">
        <v>0.92300004107394595</v>
      </c>
      <c r="AH116">
        <v>0.79557622593572896</v>
      </c>
      <c r="AI116">
        <v>1</v>
      </c>
      <c r="AJ116">
        <v>200</v>
      </c>
      <c r="AK116">
        <v>101</v>
      </c>
      <c r="AL116">
        <v>99</v>
      </c>
      <c r="AM116">
        <v>99</v>
      </c>
      <c r="AN116">
        <v>2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97</v>
      </c>
      <c r="AU116">
        <v>95</v>
      </c>
      <c r="AV116">
        <v>8</v>
      </c>
      <c r="AW116">
        <v>0</v>
      </c>
      <c r="AX116">
        <v>97</v>
      </c>
      <c r="AY116">
        <v>0.92011982026959604</v>
      </c>
      <c r="AZ116">
        <v>0.86055776892430302</v>
      </c>
      <c r="BA116">
        <v>0.96994650430835605</v>
      </c>
      <c r="BB116">
        <v>328</v>
      </c>
      <c r="BC116">
        <v>537.63</v>
      </c>
      <c r="BD116">
        <v>103</v>
      </c>
      <c r="BE116">
        <v>97</v>
      </c>
      <c r="BF116">
        <v>0.94709171325979602</v>
      </c>
      <c r="BG116">
        <v>0.99975422624630605</v>
      </c>
      <c r="BH116">
        <v>0.96268436309126404</v>
      </c>
      <c r="BI116">
        <v>1</v>
      </c>
      <c r="BJ116">
        <v>0.94709171325979602</v>
      </c>
      <c r="BK116">
        <v>0.96268436309126404</v>
      </c>
      <c r="BL116">
        <v>1</v>
      </c>
      <c r="BM116">
        <v>1</v>
      </c>
      <c r="BN116">
        <v>3</v>
      </c>
      <c r="BO116" t="s">
        <v>167</v>
      </c>
      <c r="BP116" t="s">
        <v>127</v>
      </c>
      <c r="BQ116" t="s">
        <v>206</v>
      </c>
      <c r="BR116" t="s">
        <v>120</v>
      </c>
      <c r="BS116" t="s">
        <v>86</v>
      </c>
      <c r="BT116">
        <v>0.879</v>
      </c>
      <c r="BU116" t="s">
        <v>239</v>
      </c>
      <c r="BV116" t="s">
        <v>213</v>
      </c>
      <c r="BW116">
        <v>0.92300000000000004</v>
      </c>
      <c r="BX116">
        <v>1</v>
      </c>
      <c r="BY116">
        <v>0.92400000000000004</v>
      </c>
      <c r="BZ116">
        <v>0.99399999999999999</v>
      </c>
      <c r="CA116">
        <v>0.96</v>
      </c>
      <c r="CB116">
        <v>0.95599999999999996</v>
      </c>
      <c r="CC116">
        <v>0.92</v>
      </c>
    </row>
    <row r="117" spans="1:81" x14ac:dyDescent="0.2">
      <c r="A117" t="s">
        <v>166</v>
      </c>
      <c r="B117" t="s">
        <v>126</v>
      </c>
      <c r="C117" t="s">
        <v>206</v>
      </c>
      <c r="D117" t="s">
        <v>123</v>
      </c>
      <c r="E117" t="s">
        <v>89</v>
      </c>
      <c r="F117" t="s">
        <v>93</v>
      </c>
      <c r="G117" t="s">
        <v>93</v>
      </c>
      <c r="H117">
        <v>0.82374999999999998</v>
      </c>
      <c r="I117">
        <v>0.97341211225997004</v>
      </c>
      <c r="J117">
        <v>0.946533029921789</v>
      </c>
      <c r="K117">
        <v>0.99394741574128798</v>
      </c>
      <c r="L117">
        <v>1</v>
      </c>
      <c r="M117">
        <v>1</v>
      </c>
      <c r="N117">
        <v>1</v>
      </c>
      <c r="O117">
        <v>0.74468085106382997</v>
      </c>
      <c r="P117">
        <v>0.59495102624000495</v>
      </c>
      <c r="Q117">
        <v>0.92627420839565799</v>
      </c>
      <c r="R117">
        <v>0.94820143884892105</v>
      </c>
      <c r="S117">
        <v>0.89849331475877403</v>
      </c>
      <c r="T117">
        <v>0.98796765825171895</v>
      </c>
      <c r="U117">
        <v>1</v>
      </c>
      <c r="V117">
        <v>1</v>
      </c>
      <c r="W117">
        <v>1</v>
      </c>
      <c r="X117">
        <v>0.82374999999999998</v>
      </c>
      <c r="Y117">
        <v>0.77781123951682196</v>
      </c>
      <c r="Z117">
        <v>0.85979902668357999</v>
      </c>
      <c r="AA117">
        <v>0.84030200193856597</v>
      </c>
      <c r="AB117">
        <v>0.73233587367581798</v>
      </c>
      <c r="AC117">
        <v>0.95680388881922895</v>
      </c>
      <c r="AD117">
        <v>0.97341211225997004</v>
      </c>
      <c r="AE117">
        <v>0.946533029921789</v>
      </c>
      <c r="AF117">
        <v>0.99394741574128798</v>
      </c>
      <c r="AG117">
        <v>1</v>
      </c>
      <c r="AH117">
        <v>1</v>
      </c>
      <c r="AI117">
        <v>1</v>
      </c>
      <c r="AJ117">
        <v>200</v>
      </c>
      <c r="AK117">
        <v>101</v>
      </c>
      <c r="AL117">
        <v>99</v>
      </c>
      <c r="AM117">
        <v>94</v>
      </c>
      <c r="AN117">
        <v>1</v>
      </c>
      <c r="AO117">
        <v>0</v>
      </c>
      <c r="AP117">
        <v>0</v>
      </c>
      <c r="AQ117">
        <v>5</v>
      </c>
      <c r="AR117">
        <v>1</v>
      </c>
      <c r="AS117">
        <v>1</v>
      </c>
      <c r="AT117">
        <v>98</v>
      </c>
      <c r="AU117">
        <v>95</v>
      </c>
      <c r="AV117">
        <v>8</v>
      </c>
      <c r="AW117">
        <v>0</v>
      </c>
      <c r="AX117">
        <v>97</v>
      </c>
      <c r="AY117">
        <v>0.92011982026959604</v>
      </c>
      <c r="AZ117">
        <v>0.86046048041463197</v>
      </c>
      <c r="BA117">
        <v>0.96991576413959102</v>
      </c>
      <c r="BB117">
        <v>328</v>
      </c>
      <c r="BC117">
        <v>537.63</v>
      </c>
      <c r="BD117">
        <v>95</v>
      </c>
      <c r="BE117">
        <v>105</v>
      </c>
      <c r="BF117">
        <v>0.96191392242998897</v>
      </c>
      <c r="BG117">
        <v>1</v>
      </c>
      <c r="BH117">
        <v>0.648345865833727</v>
      </c>
      <c r="BI117">
        <v>0.82320475127017601</v>
      </c>
      <c r="BJ117">
        <v>0.96191392242998897</v>
      </c>
      <c r="BK117">
        <v>0.59495102624000495</v>
      </c>
      <c r="BL117">
        <v>1</v>
      </c>
      <c r="BM117">
        <v>0.92627420839565799</v>
      </c>
      <c r="BN117">
        <v>3</v>
      </c>
      <c r="BO117" t="s">
        <v>167</v>
      </c>
      <c r="BP117" t="s">
        <v>127</v>
      </c>
      <c r="BQ117" t="s">
        <v>206</v>
      </c>
      <c r="BR117" t="s">
        <v>123</v>
      </c>
      <c r="BS117" t="s">
        <v>86</v>
      </c>
      <c r="BT117">
        <v>0.82399999999999995</v>
      </c>
      <c r="BU117" t="s">
        <v>213</v>
      </c>
      <c r="BV117" t="s">
        <v>375</v>
      </c>
      <c r="BW117">
        <v>1</v>
      </c>
      <c r="BX117">
        <v>0.94799999999999995</v>
      </c>
      <c r="BY117">
        <v>1</v>
      </c>
      <c r="BZ117">
        <v>0.97299999999999998</v>
      </c>
      <c r="CA117">
        <v>0.97299999999999998</v>
      </c>
      <c r="CB117">
        <v>0.84</v>
      </c>
      <c r="CC117">
        <v>0.92</v>
      </c>
    </row>
    <row r="118" spans="1:81" x14ac:dyDescent="0.2">
      <c r="A118" t="s">
        <v>240</v>
      </c>
      <c r="B118" t="s">
        <v>81</v>
      </c>
      <c r="C118" t="s">
        <v>82</v>
      </c>
      <c r="D118" t="s">
        <v>83</v>
      </c>
      <c r="E118" t="s">
        <v>106</v>
      </c>
      <c r="F118">
        <v>157</v>
      </c>
      <c r="G118">
        <v>21372</v>
      </c>
      <c r="H118">
        <v>7.3460602657683003E-3</v>
      </c>
      <c r="I118">
        <v>0.97719869706840401</v>
      </c>
      <c r="J118">
        <v>0.95890410958904104</v>
      </c>
      <c r="K118">
        <v>0.99310344827586206</v>
      </c>
      <c r="L118">
        <v>0.95541401273885396</v>
      </c>
      <c r="M118">
        <v>0.92105263157894701</v>
      </c>
      <c r="N118">
        <v>0.98630136986301398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0.999670153614174</v>
      </c>
      <c r="V118">
        <v>0.99941609712375101</v>
      </c>
      <c r="W118">
        <v>0.99989863460162798</v>
      </c>
      <c r="X118">
        <v>7.3460602657683003E-3</v>
      </c>
      <c r="Y118">
        <v>7.3460602657683003E-3</v>
      </c>
      <c r="Z118">
        <v>7.3460602657683003E-3</v>
      </c>
      <c r="AA118">
        <v>0.97729160074144905</v>
      </c>
      <c r="AB118">
        <v>0.95943463888802305</v>
      </c>
      <c r="AC118">
        <v>0.99307673068687996</v>
      </c>
      <c r="AD118">
        <v>0.999827353246725</v>
      </c>
      <c r="AE118">
        <v>0.99968293952088205</v>
      </c>
      <c r="AF118">
        <v>0.99994861080606701</v>
      </c>
      <c r="AG118">
        <v>0.99965476609696302</v>
      </c>
      <c r="AH118">
        <v>0.99936608003273197</v>
      </c>
      <c r="AI118">
        <v>0.99989722689356197</v>
      </c>
      <c r="AJ118">
        <v>309</v>
      </c>
      <c r="AK118">
        <v>150</v>
      </c>
      <c r="AL118">
        <v>159</v>
      </c>
      <c r="AM118">
        <v>150</v>
      </c>
      <c r="AN118">
        <v>0</v>
      </c>
      <c r="AO118">
        <v>7</v>
      </c>
      <c r="AP118">
        <v>0</v>
      </c>
      <c r="AQ118">
        <v>0</v>
      </c>
      <c r="AR118">
        <v>0</v>
      </c>
      <c r="AS118">
        <v>2</v>
      </c>
      <c r="AT118">
        <v>150</v>
      </c>
      <c r="AU118" t="s">
        <v>93</v>
      </c>
      <c r="AV118" t="s">
        <v>93</v>
      </c>
      <c r="AW118" t="s">
        <v>93</v>
      </c>
      <c r="AX118" t="s">
        <v>93</v>
      </c>
      <c r="AY118" t="s">
        <v>93</v>
      </c>
      <c r="AZ118" t="s">
        <v>93</v>
      </c>
      <c r="BA118" t="s">
        <v>93</v>
      </c>
      <c r="BB118">
        <v>930</v>
      </c>
      <c r="BC118">
        <v>1162.04207119741</v>
      </c>
      <c r="BD118">
        <v>157</v>
      </c>
      <c r="BE118">
        <v>152</v>
      </c>
      <c r="BF118">
        <v>0.91029545894191499</v>
      </c>
      <c r="BG118">
        <v>0.98188884593097603</v>
      </c>
      <c r="BH118">
        <v>0.97602317909620795</v>
      </c>
      <c r="BI118">
        <v>1</v>
      </c>
      <c r="BJ118">
        <v>0.91029545894191499</v>
      </c>
      <c r="BK118">
        <v>0.97602317909620795</v>
      </c>
      <c r="BL118">
        <v>0.98630136986301398</v>
      </c>
      <c r="BM118">
        <v>1</v>
      </c>
      <c r="BN118">
        <v>1</v>
      </c>
      <c r="BO118" t="s">
        <v>241</v>
      </c>
      <c r="BP118" t="s">
        <v>85</v>
      </c>
      <c r="BQ118" t="s">
        <v>82</v>
      </c>
      <c r="BR118" t="s">
        <v>83</v>
      </c>
      <c r="BS118" t="s">
        <v>86</v>
      </c>
      <c r="BT118">
        <v>7.0000000000000001E-3</v>
      </c>
      <c r="BU118" t="s">
        <v>242</v>
      </c>
      <c r="BV118" t="s">
        <v>88</v>
      </c>
      <c r="BW118">
        <v>1</v>
      </c>
      <c r="BX118">
        <v>1</v>
      </c>
      <c r="BY118">
        <v>1</v>
      </c>
      <c r="BZ118">
        <v>0.97699999999999998</v>
      </c>
      <c r="CA118">
        <v>1</v>
      </c>
      <c r="CB118">
        <v>0.97699999999999998</v>
      </c>
      <c r="CC118" t="s">
        <v>93</v>
      </c>
    </row>
    <row r="119" spans="1:81" x14ac:dyDescent="0.2">
      <c r="A119" t="s">
        <v>240</v>
      </c>
      <c r="B119" t="s">
        <v>81</v>
      </c>
      <c r="C119" t="s">
        <v>82</v>
      </c>
      <c r="D119" t="s">
        <v>89</v>
      </c>
      <c r="E119" t="s">
        <v>106</v>
      </c>
      <c r="F119">
        <v>151</v>
      </c>
      <c r="G119">
        <v>21372</v>
      </c>
      <c r="H119">
        <v>7.0653191091147299E-3</v>
      </c>
      <c r="I119">
        <v>0.95681063122923304</v>
      </c>
      <c r="J119">
        <v>0.93592939432729205</v>
      </c>
      <c r="K119">
        <v>0.97481154898584299</v>
      </c>
      <c r="L119">
        <v>0.95364238410596003</v>
      </c>
      <c r="M119">
        <v>0.917241379310345</v>
      </c>
      <c r="N119">
        <v>0.98581560283687897</v>
      </c>
      <c r="O119">
        <v>0.999717261203525</v>
      </c>
      <c r="P119">
        <v>0.99962301493803296</v>
      </c>
      <c r="Q119">
        <v>0.99984920597521298</v>
      </c>
      <c r="R119">
        <v>0.95999999999999497</v>
      </c>
      <c r="S119">
        <v>0.94644608365667404</v>
      </c>
      <c r="T119">
        <v>0.97830046250741798</v>
      </c>
      <c r="U119">
        <v>0.999670153614174</v>
      </c>
      <c r="V119">
        <v>0.999411297393619</v>
      </c>
      <c r="W119">
        <v>0.99989905804539603</v>
      </c>
      <c r="X119">
        <v>7.0653191091147299E-3</v>
      </c>
      <c r="Y119">
        <v>7.0653191091147299E-3</v>
      </c>
      <c r="Z119">
        <v>7.0653191091147299E-3</v>
      </c>
      <c r="AA119">
        <v>0.95650969533178498</v>
      </c>
      <c r="AB119">
        <v>0.93568784030463603</v>
      </c>
      <c r="AC119">
        <v>0.97470675856143896</v>
      </c>
      <c r="AD119">
        <v>0.97943253974343503</v>
      </c>
      <c r="AE119">
        <v>0.97226972310771798</v>
      </c>
      <c r="AF119">
        <v>0.98887239037739605</v>
      </c>
      <c r="AG119">
        <v>0.99966804921916197</v>
      </c>
      <c r="AH119">
        <v>0.99938597087494396</v>
      </c>
      <c r="AI119">
        <v>0.99990172027093704</v>
      </c>
      <c r="AJ119">
        <v>309</v>
      </c>
      <c r="AK119">
        <v>150</v>
      </c>
      <c r="AL119">
        <v>159</v>
      </c>
      <c r="AM119">
        <v>144</v>
      </c>
      <c r="AN119">
        <v>0</v>
      </c>
      <c r="AO119">
        <v>7</v>
      </c>
      <c r="AP119">
        <v>0</v>
      </c>
      <c r="AQ119">
        <v>6</v>
      </c>
      <c r="AR119">
        <v>0</v>
      </c>
      <c r="AS119">
        <v>2</v>
      </c>
      <c r="AT119">
        <v>150</v>
      </c>
      <c r="AU119" t="s">
        <v>93</v>
      </c>
      <c r="AV119" t="s">
        <v>93</v>
      </c>
      <c r="AW119" t="s">
        <v>93</v>
      </c>
      <c r="AX119" t="s">
        <v>93</v>
      </c>
      <c r="AY119" t="s">
        <v>93</v>
      </c>
      <c r="AZ119" t="s">
        <v>93</v>
      </c>
      <c r="BA119" t="s">
        <v>93</v>
      </c>
      <c r="BB119">
        <v>930</v>
      </c>
      <c r="BC119">
        <v>1162.04207119741</v>
      </c>
      <c r="BD119">
        <v>151</v>
      </c>
      <c r="BE119">
        <v>158</v>
      </c>
      <c r="BF119">
        <v>0.90681976051892499</v>
      </c>
      <c r="BG119">
        <v>0.98116139283659498</v>
      </c>
      <c r="BH119">
        <v>0.97692310201027999</v>
      </c>
      <c r="BI119">
        <v>1</v>
      </c>
      <c r="BJ119">
        <v>0.90681976051892499</v>
      </c>
      <c r="BK119">
        <v>0.97692310201027999</v>
      </c>
      <c r="BL119">
        <v>0.98581560283687897</v>
      </c>
      <c r="BM119">
        <v>1</v>
      </c>
      <c r="BN119">
        <v>1</v>
      </c>
      <c r="BO119" t="s">
        <v>241</v>
      </c>
      <c r="BP119" t="s">
        <v>85</v>
      </c>
      <c r="BQ119" t="s">
        <v>82</v>
      </c>
      <c r="BR119" t="s">
        <v>89</v>
      </c>
      <c r="BS119" t="s">
        <v>86</v>
      </c>
      <c r="BT119">
        <v>7.0000000000000001E-3</v>
      </c>
      <c r="BU119" t="s">
        <v>243</v>
      </c>
      <c r="BV119" t="s">
        <v>88</v>
      </c>
      <c r="BW119">
        <v>1</v>
      </c>
      <c r="BX119">
        <v>0.96</v>
      </c>
      <c r="BY119">
        <v>1</v>
      </c>
      <c r="BZ119">
        <v>0.95699999999999996</v>
      </c>
      <c r="CA119">
        <v>0.97899999999999998</v>
      </c>
      <c r="CB119">
        <v>0.95699999999999996</v>
      </c>
      <c r="CC119" t="s">
        <v>93</v>
      </c>
    </row>
    <row r="120" spans="1:81" x14ac:dyDescent="0.2">
      <c r="A120" t="s">
        <v>240</v>
      </c>
      <c r="B120" t="s">
        <v>81</v>
      </c>
      <c r="C120" t="s">
        <v>82</v>
      </c>
      <c r="D120" t="s">
        <v>106</v>
      </c>
      <c r="E120" t="s">
        <v>106</v>
      </c>
      <c r="F120">
        <v>159</v>
      </c>
      <c r="G120">
        <v>21372</v>
      </c>
      <c r="H120">
        <v>7.4396406513194801E-3</v>
      </c>
      <c r="I120">
        <v>0.970873786407767</v>
      </c>
      <c r="J120">
        <v>0.95031055900621098</v>
      </c>
      <c r="K120">
        <v>0.98780487804878003</v>
      </c>
      <c r="L120">
        <v>0.94339622641509402</v>
      </c>
      <c r="M120">
        <v>0.90532544378698199</v>
      </c>
      <c r="N120">
        <v>0.97590361445783103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0.99957591178965199</v>
      </c>
      <c r="V120">
        <v>0.99929087918437698</v>
      </c>
      <c r="W120">
        <v>0.99981942047601402</v>
      </c>
      <c r="X120">
        <v>7.4396406513194801E-3</v>
      </c>
      <c r="Y120">
        <v>7.4396406513194801E-3</v>
      </c>
      <c r="Z120">
        <v>7.4396406513194801E-3</v>
      </c>
      <c r="AA120">
        <v>0.97107988507526299</v>
      </c>
      <c r="AB120">
        <v>0.95114849454219297</v>
      </c>
      <c r="AC120">
        <v>0.98778914057995004</v>
      </c>
      <c r="AD120">
        <v>0.99977518843874702</v>
      </c>
      <c r="AE120">
        <v>0.99960823700182999</v>
      </c>
      <c r="AF120">
        <v>0.99990747271317904</v>
      </c>
      <c r="AG120">
        <v>0.99955047793525198</v>
      </c>
      <c r="AH120">
        <v>0.99921678083994703</v>
      </c>
      <c r="AI120">
        <v>0.99981496254737201</v>
      </c>
      <c r="AJ120">
        <v>309</v>
      </c>
      <c r="AK120">
        <v>150</v>
      </c>
      <c r="AL120">
        <v>159</v>
      </c>
      <c r="AM120">
        <v>150</v>
      </c>
      <c r="AN120">
        <v>0</v>
      </c>
      <c r="AO120">
        <v>9</v>
      </c>
      <c r="AP120">
        <v>0</v>
      </c>
      <c r="AQ120">
        <v>0</v>
      </c>
      <c r="AR120">
        <v>0</v>
      </c>
      <c r="AS120">
        <v>0</v>
      </c>
      <c r="AT120">
        <v>150</v>
      </c>
      <c r="AU120" t="s">
        <v>93</v>
      </c>
      <c r="AV120" t="s">
        <v>93</v>
      </c>
      <c r="AW120" t="s">
        <v>93</v>
      </c>
      <c r="AX120" t="s">
        <v>93</v>
      </c>
      <c r="AY120" t="s">
        <v>93</v>
      </c>
      <c r="AZ120" t="s">
        <v>93</v>
      </c>
      <c r="BA120" t="s">
        <v>93</v>
      </c>
      <c r="BB120">
        <v>930</v>
      </c>
      <c r="BC120">
        <v>1162.04207119741</v>
      </c>
      <c r="BD120">
        <v>159</v>
      </c>
      <c r="BE120">
        <v>150</v>
      </c>
      <c r="BF120">
        <v>0.89526986890387406</v>
      </c>
      <c r="BG120">
        <v>0.97379351381891399</v>
      </c>
      <c r="BH120">
        <v>0.97570740283389101</v>
      </c>
      <c r="BI120">
        <v>1</v>
      </c>
      <c r="BJ120">
        <v>0.89526986890387406</v>
      </c>
      <c r="BK120">
        <v>0.97570740283389101</v>
      </c>
      <c r="BL120">
        <v>0.97590361445783103</v>
      </c>
      <c r="BM120">
        <v>1</v>
      </c>
      <c r="BN120">
        <v>1</v>
      </c>
      <c r="BO120" t="s">
        <v>241</v>
      </c>
      <c r="BP120" t="s">
        <v>85</v>
      </c>
      <c r="BQ120" t="s">
        <v>82</v>
      </c>
      <c r="BR120" t="s">
        <v>106</v>
      </c>
      <c r="BS120" t="s">
        <v>86</v>
      </c>
      <c r="BT120">
        <v>7.0000000000000001E-3</v>
      </c>
      <c r="BU120" t="s">
        <v>107</v>
      </c>
      <c r="BV120" t="s">
        <v>88</v>
      </c>
      <c r="BW120">
        <v>1</v>
      </c>
      <c r="BX120">
        <v>1</v>
      </c>
      <c r="BY120">
        <v>1</v>
      </c>
      <c r="BZ120">
        <v>0.97099999999999997</v>
      </c>
      <c r="CA120">
        <v>1</v>
      </c>
      <c r="CB120">
        <v>0.97099999999999997</v>
      </c>
      <c r="CC120" t="s">
        <v>93</v>
      </c>
    </row>
    <row r="121" spans="1:81" x14ac:dyDescent="0.2">
      <c r="A121" t="s">
        <v>240</v>
      </c>
      <c r="B121" t="s">
        <v>81</v>
      </c>
      <c r="C121" t="s">
        <v>82</v>
      </c>
      <c r="D121" t="s">
        <v>108</v>
      </c>
      <c r="E121" t="s">
        <v>106</v>
      </c>
      <c r="F121">
        <v>149</v>
      </c>
      <c r="G121">
        <v>21372</v>
      </c>
      <c r="H121">
        <v>6.9717387235635397E-3</v>
      </c>
      <c r="I121">
        <v>0.96321070234113704</v>
      </c>
      <c r="J121">
        <v>0.94375812310974905</v>
      </c>
      <c r="K121">
        <v>0.98015526218306204</v>
      </c>
      <c r="L121">
        <v>0.96644295302013405</v>
      </c>
      <c r="M121">
        <v>0.934782608695652</v>
      </c>
      <c r="N121">
        <v>0.99305555555555602</v>
      </c>
      <c r="O121">
        <v>0.999717287848089</v>
      </c>
      <c r="P121">
        <v>0.999575931772134</v>
      </c>
      <c r="Q121">
        <v>0.999871494476404</v>
      </c>
      <c r="R121">
        <v>0.95999999999999897</v>
      </c>
      <c r="S121">
        <v>0.94102233153134396</v>
      </c>
      <c r="T121">
        <v>0.981384485687811</v>
      </c>
      <c r="U121">
        <v>0.999764395438696</v>
      </c>
      <c r="V121">
        <v>0.99954220157562002</v>
      </c>
      <c r="W121">
        <v>0.99995123385865203</v>
      </c>
      <c r="X121">
        <v>6.9717387235635397E-3</v>
      </c>
      <c r="Y121">
        <v>6.9717387235635397E-3</v>
      </c>
      <c r="Z121">
        <v>6.9717387235635397E-3</v>
      </c>
      <c r="AA121">
        <v>0.96295700811292395</v>
      </c>
      <c r="AB121">
        <v>0.94340455441288495</v>
      </c>
      <c r="AC121">
        <v>0.980058744429677</v>
      </c>
      <c r="AD121">
        <v>0.97947956542699699</v>
      </c>
      <c r="AE121">
        <v>0.96946586101555399</v>
      </c>
      <c r="AF121">
        <v>0.99050492547422897</v>
      </c>
      <c r="AG121">
        <v>0.99976603191701496</v>
      </c>
      <c r="AH121">
        <v>0.99953135013307903</v>
      </c>
      <c r="AI121">
        <v>0.99995293699395305</v>
      </c>
      <c r="AJ121">
        <v>309</v>
      </c>
      <c r="AK121">
        <v>150</v>
      </c>
      <c r="AL121">
        <v>159</v>
      </c>
      <c r="AM121">
        <v>144</v>
      </c>
      <c r="AN121">
        <v>0</v>
      </c>
      <c r="AO121">
        <v>5</v>
      </c>
      <c r="AP121">
        <v>0</v>
      </c>
      <c r="AQ121">
        <v>6</v>
      </c>
      <c r="AR121">
        <v>0</v>
      </c>
      <c r="AS121">
        <v>4</v>
      </c>
      <c r="AT121">
        <v>150</v>
      </c>
      <c r="AU121" t="s">
        <v>93</v>
      </c>
      <c r="AV121" t="s">
        <v>93</v>
      </c>
      <c r="AW121" t="s">
        <v>93</v>
      </c>
      <c r="AX121" t="s">
        <v>93</v>
      </c>
      <c r="AY121" t="s">
        <v>93</v>
      </c>
      <c r="AZ121" t="s">
        <v>93</v>
      </c>
      <c r="BA121" t="s">
        <v>93</v>
      </c>
      <c r="BB121">
        <v>930</v>
      </c>
      <c r="BC121">
        <v>1162.04207119741</v>
      </c>
      <c r="BD121">
        <v>149</v>
      </c>
      <c r="BE121">
        <v>160</v>
      </c>
      <c r="BF121">
        <v>0.923428638625298</v>
      </c>
      <c r="BG121">
        <v>0.989015995029777</v>
      </c>
      <c r="BH121">
        <v>0.97720825054453397</v>
      </c>
      <c r="BI121">
        <v>1</v>
      </c>
      <c r="BJ121">
        <v>0.923428638625298</v>
      </c>
      <c r="BK121">
        <v>0.97720825054453397</v>
      </c>
      <c r="BL121">
        <v>0.99305555555555602</v>
      </c>
      <c r="BM121">
        <v>1</v>
      </c>
      <c r="BN121">
        <v>1</v>
      </c>
      <c r="BO121" t="s">
        <v>241</v>
      </c>
      <c r="BP121" t="s">
        <v>85</v>
      </c>
      <c r="BQ121" t="s">
        <v>82</v>
      </c>
      <c r="BR121" t="s">
        <v>108</v>
      </c>
      <c r="BS121" t="s">
        <v>86</v>
      </c>
      <c r="BT121">
        <v>7.0000000000000001E-3</v>
      </c>
      <c r="BU121" t="s">
        <v>109</v>
      </c>
      <c r="BV121" t="s">
        <v>88</v>
      </c>
      <c r="BW121">
        <v>1</v>
      </c>
      <c r="BX121">
        <v>0.96</v>
      </c>
      <c r="BY121">
        <v>1</v>
      </c>
      <c r="BZ121">
        <v>0.96299999999999997</v>
      </c>
      <c r="CA121">
        <v>0.97899999999999998</v>
      </c>
      <c r="CB121">
        <v>0.96299999999999997</v>
      </c>
      <c r="CC121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4A62-019E-8A40-81F0-F0D7F959DFAD}">
  <dimension ref="A1:CB9"/>
  <sheetViews>
    <sheetView topLeftCell="BN1" workbookViewId="0">
      <selection activeCell="BU10" sqref="BU10"/>
    </sheetView>
  </sheetViews>
  <sheetFormatPr baseColWidth="10" defaultRowHeight="16" x14ac:dyDescent="0.2"/>
  <cols>
    <col min="1" max="1" width="16.5" style="1" hidden="1" customWidth="1"/>
    <col min="2" max="3" width="0" style="1" hidden="1" customWidth="1"/>
    <col min="4" max="4" width="33.33203125" style="1" hidden="1" customWidth="1"/>
    <col min="5" max="65" width="0" style="1" hidden="1" customWidth="1"/>
    <col min="66" max="66" width="10.83203125" style="1"/>
    <col min="67" max="67" width="0" style="1" hidden="1" customWidth="1"/>
    <col min="68" max="68" width="10.83203125" style="1"/>
    <col min="69" max="70" width="0" style="1" hidden="1" customWidth="1"/>
    <col min="71" max="71" width="11.6640625" style="1" customWidth="1"/>
    <col min="72" max="73" width="18.83203125" style="1" customWidth="1"/>
    <col min="74" max="74" width="7.33203125" style="1" customWidth="1"/>
    <col min="75" max="75" width="12.33203125" style="1" customWidth="1"/>
    <col min="76" max="76" width="10.83203125" style="1"/>
    <col min="77" max="77" width="7.1640625" style="1" customWidth="1"/>
    <col min="78" max="78" width="6.1640625" style="1" customWidth="1"/>
    <col min="79" max="79" width="7.33203125" style="1" customWidth="1"/>
    <col min="80" max="80" width="9.1640625" style="1" customWidth="1"/>
    <col min="81" max="16384" width="10.83203125" style="1"/>
  </cols>
  <sheetData>
    <row r="1" spans="1:80" s="77" customFormat="1" ht="54" customHeigh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81</v>
      </c>
      <c r="C2" s="1" t="s">
        <v>82</v>
      </c>
      <c r="D2" s="1" t="s">
        <v>83</v>
      </c>
      <c r="E2" s="1">
        <v>156</v>
      </c>
      <c r="F2" s="1">
        <v>607</v>
      </c>
      <c r="G2" s="1">
        <v>0.25700164744645798</v>
      </c>
      <c r="H2" s="1">
        <v>0.98039215686274495</v>
      </c>
      <c r="I2" s="1">
        <v>0.96341463414634099</v>
      </c>
      <c r="J2" s="1">
        <v>0.99375000000000002</v>
      </c>
      <c r="K2" s="1">
        <v>0.96153846153846201</v>
      </c>
      <c r="L2" s="1">
        <v>0.92941176470588205</v>
      </c>
      <c r="M2" s="1">
        <v>0.98757763975155299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0.98687089715536103</v>
      </c>
      <c r="U2" s="1">
        <v>0.97616561839525395</v>
      </c>
      <c r="V2" s="1">
        <v>0.99572151447417101</v>
      </c>
      <c r="W2" s="1">
        <v>0.25700164744645798</v>
      </c>
      <c r="X2" s="1">
        <v>0.25700164744645798</v>
      </c>
      <c r="Y2" s="1">
        <v>0.25700164744645798</v>
      </c>
      <c r="Z2" s="1">
        <v>0.97412233532952497</v>
      </c>
      <c r="AA2" s="1">
        <v>0.95250186878448795</v>
      </c>
      <c r="AB2" s="1">
        <v>0.99164121692991503</v>
      </c>
      <c r="AC2" s="1">
        <v>0.99312956927684304</v>
      </c>
      <c r="AD2" s="1">
        <v>0.98703493365099604</v>
      </c>
      <c r="AE2" s="1">
        <v>0.99782926320183696</v>
      </c>
      <c r="AF2" s="1">
        <v>0.98635290000874798</v>
      </c>
      <c r="AG2" s="1">
        <v>0.97440175030767096</v>
      </c>
      <c r="AH2" s="1">
        <v>0.99566793018702904</v>
      </c>
      <c r="AI2" s="1">
        <v>307</v>
      </c>
      <c r="AJ2" s="1">
        <v>150</v>
      </c>
      <c r="AK2" s="1">
        <v>157</v>
      </c>
      <c r="AL2" s="1">
        <v>144</v>
      </c>
      <c r="AM2" s="1">
        <v>6</v>
      </c>
      <c r="AN2" s="1">
        <v>5</v>
      </c>
      <c r="AO2" s="1">
        <v>1</v>
      </c>
      <c r="AP2" s="1">
        <v>0</v>
      </c>
      <c r="AQ2" s="1">
        <v>0</v>
      </c>
      <c r="AR2" s="1">
        <v>3</v>
      </c>
      <c r="AS2" s="1">
        <v>148</v>
      </c>
      <c r="AT2" s="1">
        <v>147</v>
      </c>
      <c r="AU2" s="1">
        <v>4</v>
      </c>
      <c r="AV2" s="1">
        <v>13</v>
      </c>
      <c r="AW2" s="1">
        <v>143</v>
      </c>
      <c r="AX2" s="1">
        <v>0.88932714125156398</v>
      </c>
      <c r="AY2" s="1">
        <v>0.83707304646867797</v>
      </c>
      <c r="AZ2" s="1">
        <v>0.93490522030448198</v>
      </c>
      <c r="BA2" s="1">
        <v>966</v>
      </c>
      <c r="BB2" s="1">
        <v>1208.1596091205199</v>
      </c>
      <c r="BC2" s="1">
        <v>156</v>
      </c>
      <c r="BD2" s="1">
        <v>151</v>
      </c>
      <c r="BE2" s="1">
        <v>0.918167683421513</v>
      </c>
      <c r="BF2" s="1">
        <v>0.98575665479000096</v>
      </c>
      <c r="BG2" s="1">
        <v>0.97586632380977401</v>
      </c>
      <c r="BH2" s="1">
        <v>1</v>
      </c>
      <c r="BI2" s="1">
        <v>0.918167683421513</v>
      </c>
      <c r="BJ2" s="1">
        <v>0.97586632380977401</v>
      </c>
      <c r="BK2" s="1">
        <v>0.98757763975155299</v>
      </c>
      <c r="BL2" s="1">
        <v>1</v>
      </c>
      <c r="BM2" s="1">
        <v>1</v>
      </c>
      <c r="BN2" s="4" t="s">
        <v>84</v>
      </c>
      <c r="BO2" s="4" t="s">
        <v>85</v>
      </c>
      <c r="BP2" s="4" t="s">
        <v>82</v>
      </c>
      <c r="BQ2" s="4" t="s">
        <v>83</v>
      </c>
      <c r="BR2" s="4" t="s">
        <v>86</v>
      </c>
      <c r="BS2" s="5">
        <v>0.25700000000000001</v>
      </c>
      <c r="BT2" s="6" t="s">
        <v>87</v>
      </c>
      <c r="BU2" s="6" t="s">
        <v>88</v>
      </c>
      <c r="BV2" s="7">
        <v>0.98599999999999999</v>
      </c>
      <c r="BW2" s="7">
        <v>1</v>
      </c>
      <c r="BX2" s="7">
        <v>0.98699999999999999</v>
      </c>
      <c r="BY2" s="7">
        <v>0.98</v>
      </c>
      <c r="BZ2" s="7">
        <v>0.99299999999999999</v>
      </c>
      <c r="CA2" s="7">
        <v>0.97399999999999998</v>
      </c>
      <c r="CB2" s="7">
        <v>0.88900000000000001</v>
      </c>
    </row>
    <row r="3" spans="1:80" x14ac:dyDescent="0.2">
      <c r="A3" s="1" t="s">
        <v>80</v>
      </c>
      <c r="B3" s="1" t="s">
        <v>81</v>
      </c>
      <c r="C3" s="1" t="s">
        <v>206</v>
      </c>
      <c r="D3" s="1" t="s">
        <v>83</v>
      </c>
      <c r="E3" s="1">
        <v>186</v>
      </c>
      <c r="F3" s="1">
        <v>700</v>
      </c>
      <c r="G3" s="1">
        <v>0.26571428571428601</v>
      </c>
      <c r="H3" s="1">
        <v>0.91283955847612497</v>
      </c>
      <c r="I3" s="1">
        <v>0.87137803700118299</v>
      </c>
      <c r="J3" s="1">
        <v>0.96536973318388097</v>
      </c>
      <c r="K3" s="1">
        <v>0.91578947368421004</v>
      </c>
      <c r="L3" s="1">
        <v>0.88518903919528302</v>
      </c>
      <c r="M3" s="1">
        <v>0.99019607843137303</v>
      </c>
      <c r="N3" s="1">
        <v>0.96718812038433999</v>
      </c>
      <c r="O3" s="1">
        <v>0.93391341832851005</v>
      </c>
      <c r="P3" s="1">
        <v>0.991439688715953</v>
      </c>
      <c r="Q3" s="1">
        <v>0.909908586615501</v>
      </c>
      <c r="R3" s="1">
        <v>0.83500926142321796</v>
      </c>
      <c r="S3" s="1">
        <v>0.97533632286995497</v>
      </c>
      <c r="T3" s="1">
        <v>0.96945549237267004</v>
      </c>
      <c r="U3" s="1">
        <v>0.958927610071581</v>
      </c>
      <c r="V3" s="1">
        <v>0.99634670938397796</v>
      </c>
      <c r="W3" s="1">
        <v>0.26571428571428601</v>
      </c>
      <c r="X3" s="1">
        <v>0.26571428571428601</v>
      </c>
      <c r="Y3" s="1">
        <v>0.26571428571428601</v>
      </c>
      <c r="Z3" s="1">
        <v>0.88116898423360501</v>
      </c>
      <c r="AA3" s="1">
        <v>0.82385328164156402</v>
      </c>
      <c r="AB3" s="1">
        <v>0.95291565975157699</v>
      </c>
      <c r="AC3" s="1">
        <v>0.93928072296157805</v>
      </c>
      <c r="AD3" s="1">
        <v>0.89875342945910797</v>
      </c>
      <c r="AE3" s="1">
        <v>0.97616185479994899</v>
      </c>
      <c r="AF3" s="1">
        <v>0.97061239748070505</v>
      </c>
      <c r="AG3" s="1">
        <v>0.95882558994778899</v>
      </c>
      <c r="AH3" s="1">
        <v>0.99674772087321994</v>
      </c>
      <c r="AI3" s="1">
        <v>200</v>
      </c>
      <c r="AJ3" s="1">
        <v>98</v>
      </c>
      <c r="AK3" s="1">
        <v>102</v>
      </c>
      <c r="AL3" s="1">
        <v>93</v>
      </c>
      <c r="AM3" s="1">
        <v>0</v>
      </c>
      <c r="AN3" s="1">
        <v>2</v>
      </c>
      <c r="AO3" s="1">
        <v>2</v>
      </c>
      <c r="AP3" s="1">
        <v>3</v>
      </c>
      <c r="AQ3" s="1">
        <v>2</v>
      </c>
      <c r="AR3" s="1">
        <v>2</v>
      </c>
      <c r="AS3" s="1">
        <v>96</v>
      </c>
      <c r="AT3" s="1">
        <v>93</v>
      </c>
      <c r="AU3" s="1">
        <v>1</v>
      </c>
      <c r="AV3" s="1">
        <v>8</v>
      </c>
      <c r="AW3" s="1">
        <v>98</v>
      </c>
      <c r="AX3" s="1">
        <v>0.91005396761942803</v>
      </c>
      <c r="AY3" s="1">
        <v>0.84945804897631505</v>
      </c>
      <c r="AZ3" s="1">
        <v>0.96</v>
      </c>
      <c r="BA3" s="1">
        <v>850</v>
      </c>
      <c r="BB3" s="1">
        <v>1293.32</v>
      </c>
      <c r="BC3" s="1">
        <v>97</v>
      </c>
      <c r="BD3" s="1">
        <v>103</v>
      </c>
      <c r="BE3" s="1">
        <v>0.84394730319733402</v>
      </c>
      <c r="BF3" s="1">
        <v>0.96371975017983702</v>
      </c>
      <c r="BG3" s="1">
        <v>0.917235057389162</v>
      </c>
      <c r="BH3" s="1">
        <v>0.993952721469058</v>
      </c>
      <c r="BI3" s="1">
        <v>0.84394730319733402</v>
      </c>
      <c r="BJ3" s="1">
        <v>0.917235057389162</v>
      </c>
      <c r="BK3" s="1">
        <v>0.99019607843137303</v>
      </c>
      <c r="BL3" s="1">
        <v>0.993952721469058</v>
      </c>
      <c r="BM3" s="1">
        <v>1</v>
      </c>
      <c r="BN3" s="4" t="s">
        <v>84</v>
      </c>
      <c r="BO3" s="4" t="s">
        <v>85</v>
      </c>
      <c r="BP3" s="4" t="s">
        <v>206</v>
      </c>
      <c r="BQ3" s="4" t="s">
        <v>83</v>
      </c>
      <c r="BR3" s="4" t="s">
        <v>86</v>
      </c>
      <c r="BS3" s="5">
        <v>0.26600000000000001</v>
      </c>
      <c r="BT3" s="6" t="s">
        <v>214</v>
      </c>
      <c r="BU3" s="6" t="s">
        <v>173</v>
      </c>
      <c r="BV3" s="7">
        <v>0.97099999999999997</v>
      </c>
      <c r="BW3" s="7">
        <v>0.91</v>
      </c>
      <c r="BX3" s="7">
        <v>0.96899999999999997</v>
      </c>
      <c r="BY3" s="7">
        <v>0.91300000000000003</v>
      </c>
      <c r="BZ3" s="7">
        <v>0.93899999999999995</v>
      </c>
      <c r="CA3" s="7">
        <v>0.88100000000000001</v>
      </c>
      <c r="CB3" s="7">
        <v>0.91</v>
      </c>
    </row>
    <row r="4" spans="1:80" x14ac:dyDescent="0.2">
      <c r="A4" s="1" t="s">
        <v>158</v>
      </c>
      <c r="B4" s="1" t="s">
        <v>81</v>
      </c>
      <c r="C4" s="1" t="s">
        <v>82</v>
      </c>
      <c r="D4" s="1" t="s">
        <v>83</v>
      </c>
      <c r="E4" s="1">
        <v>262</v>
      </c>
      <c r="F4" s="1">
        <v>1492</v>
      </c>
      <c r="G4" s="1">
        <v>0.17560321715817701</v>
      </c>
      <c r="H4" s="1">
        <v>0.93704135143424205</v>
      </c>
      <c r="I4" s="1">
        <v>0.88089322722451602</v>
      </c>
      <c r="J4" s="1">
        <v>0.98261141855953604</v>
      </c>
      <c r="K4" s="1">
        <v>0.92137923871838801</v>
      </c>
      <c r="L4" s="1">
        <v>0.84142096878952899</v>
      </c>
      <c r="M4" s="1">
        <v>0.98811341330425295</v>
      </c>
      <c r="N4" s="1">
        <v>0.99037375790424598</v>
      </c>
      <c r="O4" s="1">
        <v>0.97443996022694002</v>
      </c>
      <c r="P4" s="1">
        <v>1</v>
      </c>
      <c r="Q4" s="1">
        <v>0.95324513829466395</v>
      </c>
      <c r="R4" s="1">
        <v>0.88362621949245201</v>
      </c>
      <c r="S4" s="1">
        <v>1</v>
      </c>
      <c r="T4" s="1">
        <v>0.98337154356086098</v>
      </c>
      <c r="U4" s="1">
        <v>0.96710346862249796</v>
      </c>
      <c r="V4" s="1">
        <v>0.99746675110829597</v>
      </c>
      <c r="W4" s="1">
        <v>0.17560321715817701</v>
      </c>
      <c r="X4" s="1">
        <v>0.17560321715817701</v>
      </c>
      <c r="Y4" s="1">
        <v>0.17560321715817701</v>
      </c>
      <c r="Z4" s="1">
        <v>0.92410122084570501</v>
      </c>
      <c r="AA4" s="1">
        <v>0.85744698045280099</v>
      </c>
      <c r="AB4" s="1">
        <v>0.97893394376125797</v>
      </c>
      <c r="AC4" s="1">
        <v>0.96787892923867003</v>
      </c>
      <c r="AD4" s="1">
        <v>0.92903771697578696</v>
      </c>
      <c r="AE4" s="1">
        <v>0.99293996925972705</v>
      </c>
      <c r="AF4" s="1">
        <v>0.98296902797822305</v>
      </c>
      <c r="AG4" s="1">
        <v>0.96296198072690697</v>
      </c>
      <c r="AH4" s="1">
        <v>0.99751237828518802</v>
      </c>
      <c r="AI4" s="1">
        <v>300</v>
      </c>
      <c r="AJ4" s="1">
        <v>150</v>
      </c>
      <c r="AK4" s="1">
        <v>150</v>
      </c>
      <c r="AL4" s="1">
        <v>143</v>
      </c>
      <c r="AM4" s="1">
        <v>4</v>
      </c>
      <c r="AN4" s="1">
        <v>4</v>
      </c>
      <c r="AO4" s="1">
        <v>2</v>
      </c>
      <c r="AP4" s="1">
        <v>2</v>
      </c>
      <c r="AQ4" s="1">
        <v>1</v>
      </c>
      <c r="AR4" s="1">
        <v>1</v>
      </c>
      <c r="AS4" s="1">
        <v>143</v>
      </c>
      <c r="AT4" s="1">
        <v>145</v>
      </c>
      <c r="AU4" s="1">
        <v>3</v>
      </c>
      <c r="AV4" s="1">
        <v>5</v>
      </c>
      <c r="AW4" s="1">
        <v>147</v>
      </c>
      <c r="AX4" s="1">
        <v>0.94666666666666699</v>
      </c>
      <c r="AY4" s="1">
        <v>0.90657947417589702</v>
      </c>
      <c r="AZ4" s="1">
        <v>0.979982206405694</v>
      </c>
      <c r="BA4" s="1">
        <v>879.5</v>
      </c>
      <c r="BB4" s="1">
        <v>1105.92333333333</v>
      </c>
      <c r="BC4" s="1">
        <v>153</v>
      </c>
      <c r="BD4" s="1">
        <v>147</v>
      </c>
      <c r="BE4" s="1">
        <v>0.86700431499918296</v>
      </c>
      <c r="BF4" s="1">
        <v>0.95881722187848495</v>
      </c>
      <c r="BG4" s="1">
        <v>0.96268181843341405</v>
      </c>
      <c r="BH4" s="1">
        <v>0.99982778484444501</v>
      </c>
      <c r="BI4" s="1">
        <v>0.84142096878952899</v>
      </c>
      <c r="BJ4" s="1">
        <v>0.96268181843341405</v>
      </c>
      <c r="BK4" s="1">
        <v>0.98811341330425295</v>
      </c>
      <c r="BL4" s="1">
        <v>1</v>
      </c>
      <c r="BM4" s="1">
        <v>2</v>
      </c>
      <c r="BN4" s="8" t="s">
        <v>159</v>
      </c>
      <c r="BO4" s="8" t="s">
        <v>85</v>
      </c>
      <c r="BP4" s="8" t="s">
        <v>82</v>
      </c>
      <c r="BQ4" s="8" t="s">
        <v>83</v>
      </c>
      <c r="BR4" s="8" t="s">
        <v>86</v>
      </c>
      <c r="BS4" s="7">
        <v>0.17599999999999999</v>
      </c>
      <c r="BT4" s="9" t="s">
        <v>172</v>
      </c>
      <c r="BU4" s="9" t="s">
        <v>165</v>
      </c>
      <c r="BV4" s="7">
        <v>0.98299999999999998</v>
      </c>
      <c r="BW4" s="7">
        <v>0.95299999999999996</v>
      </c>
      <c r="BX4" s="7">
        <v>0.98299999999999998</v>
      </c>
      <c r="BY4" s="7">
        <v>0.93700000000000006</v>
      </c>
      <c r="BZ4" s="7">
        <v>0.96799999999999997</v>
      </c>
      <c r="CA4" s="7">
        <v>0.92400000000000004</v>
      </c>
      <c r="CB4" s="7">
        <v>0.94699999999999995</v>
      </c>
    </row>
    <row r="5" spans="1:80" x14ac:dyDescent="0.2">
      <c r="A5" s="1" t="s">
        <v>158</v>
      </c>
      <c r="B5" s="1" t="s">
        <v>81</v>
      </c>
      <c r="C5" s="1" t="s">
        <v>206</v>
      </c>
      <c r="D5" s="1" t="s">
        <v>83</v>
      </c>
      <c r="E5" s="1">
        <v>219</v>
      </c>
      <c r="F5" s="1">
        <v>1000</v>
      </c>
      <c r="G5" s="1">
        <v>0.219</v>
      </c>
      <c r="H5" s="1">
        <v>0.95128894641508899</v>
      </c>
      <c r="I5" s="1">
        <v>0.88377970318421195</v>
      </c>
      <c r="J5" s="1">
        <v>0.99602689486552598</v>
      </c>
      <c r="K5" s="1">
        <v>0.94062750082380098</v>
      </c>
      <c r="L5" s="1">
        <v>0.82305936073059405</v>
      </c>
      <c r="M5" s="1">
        <v>1</v>
      </c>
      <c r="N5" s="1">
        <v>0.98963668373879599</v>
      </c>
      <c r="O5" s="1">
        <v>0.96608369223606105</v>
      </c>
      <c r="P5" s="1">
        <v>1</v>
      </c>
      <c r="Q5" s="1">
        <v>0.96219484484732998</v>
      </c>
      <c r="R5" s="1">
        <v>0.88280091829853102</v>
      </c>
      <c r="S5" s="1">
        <v>1</v>
      </c>
      <c r="T5" s="1">
        <v>0.98345536165571001</v>
      </c>
      <c r="U5" s="1">
        <v>0.95258273815511496</v>
      </c>
      <c r="V5" s="1">
        <v>1</v>
      </c>
      <c r="W5" s="1">
        <v>0.219</v>
      </c>
      <c r="X5" s="1">
        <v>0.219</v>
      </c>
      <c r="Y5" s="1">
        <v>0.219</v>
      </c>
      <c r="Z5" s="1">
        <v>0.93792564643152998</v>
      </c>
      <c r="AA5" s="1">
        <v>0.85480565015795595</v>
      </c>
      <c r="AB5" s="1">
        <v>0.99493130452561795</v>
      </c>
      <c r="AC5" s="1">
        <v>0.97261084216450899</v>
      </c>
      <c r="AD5" s="1">
        <v>0.92746934439482598</v>
      </c>
      <c r="AE5" s="1">
        <v>0.99888270831191195</v>
      </c>
      <c r="AF5" s="1">
        <v>0.98325481891281996</v>
      </c>
      <c r="AG5" s="1">
        <v>0.94606808878831194</v>
      </c>
      <c r="AH5" s="1">
        <v>1</v>
      </c>
      <c r="AI5" s="1">
        <v>200</v>
      </c>
      <c r="AJ5" s="1">
        <v>99</v>
      </c>
      <c r="AK5" s="1">
        <v>101</v>
      </c>
      <c r="AL5" s="1">
        <v>95</v>
      </c>
      <c r="AM5" s="1">
        <v>3</v>
      </c>
      <c r="AN5" s="1">
        <v>2</v>
      </c>
      <c r="AO5" s="1">
        <v>1</v>
      </c>
      <c r="AP5" s="1">
        <v>0</v>
      </c>
      <c r="AQ5" s="1">
        <v>1</v>
      </c>
      <c r="AR5" s="1">
        <v>3</v>
      </c>
      <c r="AS5" s="1">
        <v>95</v>
      </c>
      <c r="AT5" s="1">
        <v>97</v>
      </c>
      <c r="AU5" s="1">
        <v>0</v>
      </c>
      <c r="AV5" s="1">
        <v>3</v>
      </c>
      <c r="AW5" s="1">
        <v>100</v>
      </c>
      <c r="AX5" s="1">
        <v>0.97</v>
      </c>
      <c r="AY5" s="1">
        <v>0.93</v>
      </c>
      <c r="AZ5" s="1">
        <v>1</v>
      </c>
      <c r="BA5" s="1">
        <v>698</v>
      </c>
      <c r="BB5" s="1">
        <v>1044.2850000000001</v>
      </c>
      <c r="BC5" s="1">
        <v>101</v>
      </c>
      <c r="BD5" s="1">
        <v>99</v>
      </c>
      <c r="BE5" s="1">
        <v>0.87517356335566698</v>
      </c>
      <c r="BF5" s="1">
        <v>0.97788942759058195</v>
      </c>
      <c r="BG5" s="1">
        <v>0.94500317680057</v>
      </c>
      <c r="BH5" s="1">
        <v>0.99974429726333403</v>
      </c>
      <c r="BI5" s="1">
        <v>0.82305936073059405</v>
      </c>
      <c r="BJ5" s="1">
        <v>0.94500317680057</v>
      </c>
      <c r="BK5" s="1">
        <v>1</v>
      </c>
      <c r="BL5" s="1">
        <v>1</v>
      </c>
      <c r="BM5" s="1">
        <v>2</v>
      </c>
      <c r="BN5" s="8" t="s">
        <v>159</v>
      </c>
      <c r="BO5" s="8" t="s">
        <v>85</v>
      </c>
      <c r="BP5" s="8" t="s">
        <v>206</v>
      </c>
      <c r="BQ5" s="8" t="s">
        <v>83</v>
      </c>
      <c r="BR5" s="8" t="s">
        <v>86</v>
      </c>
      <c r="BS5" s="7">
        <v>0.219</v>
      </c>
      <c r="BT5" s="9" t="s">
        <v>207</v>
      </c>
      <c r="BU5" s="9" t="s">
        <v>186</v>
      </c>
      <c r="BV5" s="7">
        <v>0.98299999999999998</v>
      </c>
      <c r="BW5" s="7">
        <v>0.96199999999999997</v>
      </c>
      <c r="BX5" s="7">
        <v>0.98299999999999998</v>
      </c>
      <c r="BY5" s="7">
        <v>0.95099999999999996</v>
      </c>
      <c r="BZ5" s="7">
        <v>0.97299999999999998</v>
      </c>
      <c r="CA5" s="7">
        <v>0.93799999999999994</v>
      </c>
      <c r="CB5" s="7">
        <v>0.97</v>
      </c>
    </row>
    <row r="6" spans="1:80" x14ac:dyDescent="0.2">
      <c r="A6" s="1" t="s">
        <v>166</v>
      </c>
      <c r="B6" s="1" t="s">
        <v>81</v>
      </c>
      <c r="C6" s="1" t="s">
        <v>82</v>
      </c>
      <c r="D6" s="1" t="s">
        <v>83</v>
      </c>
      <c r="E6" s="1">
        <v>252</v>
      </c>
      <c r="F6" s="1">
        <v>963</v>
      </c>
      <c r="G6" s="1">
        <v>0.26168224299065401</v>
      </c>
      <c r="H6" s="1">
        <v>0.96862637996600798</v>
      </c>
      <c r="I6" s="1">
        <v>0.93977187676490603</v>
      </c>
      <c r="J6" s="1">
        <v>0.99654035739222402</v>
      </c>
      <c r="K6" s="1">
        <v>0.95701502077341005</v>
      </c>
      <c r="L6" s="1">
        <v>0.91860857818304598</v>
      </c>
      <c r="M6" s="1">
        <v>0.99389499389499403</v>
      </c>
      <c r="N6" s="1">
        <v>0.993262249591363</v>
      </c>
      <c r="O6" s="1">
        <v>0.97826086956521696</v>
      </c>
      <c r="P6" s="1">
        <v>1</v>
      </c>
      <c r="Q6" s="1">
        <v>0.98052295840997705</v>
      </c>
      <c r="R6" s="1">
        <v>0.93956526002757701</v>
      </c>
      <c r="S6" s="1">
        <v>1</v>
      </c>
      <c r="T6" s="1">
        <v>0.98489318661036696</v>
      </c>
      <c r="U6" s="1">
        <v>0.971715491116525</v>
      </c>
      <c r="V6" s="1">
        <v>0.99782697270134502</v>
      </c>
      <c r="W6" s="1">
        <v>0.26168224299065401</v>
      </c>
      <c r="X6" s="1">
        <v>0.26168224299065401</v>
      </c>
      <c r="Y6" s="1">
        <v>0.26168224299065401</v>
      </c>
      <c r="Z6" s="1">
        <v>0.95781679827408295</v>
      </c>
      <c r="AA6" s="1">
        <v>0.91887588665171904</v>
      </c>
      <c r="AB6" s="1">
        <v>0.99533079434528704</v>
      </c>
      <c r="AC6" s="1">
        <v>0.98257243263725702</v>
      </c>
      <c r="AD6" s="1">
        <v>0.95942096608124805</v>
      </c>
      <c r="AE6" s="1">
        <v>0.99877105277378098</v>
      </c>
      <c r="AF6" s="1">
        <v>0.98463049236976796</v>
      </c>
      <c r="AG6" s="1">
        <v>0.97000888238674998</v>
      </c>
      <c r="AH6" s="1">
        <v>0.997856555701226</v>
      </c>
      <c r="AI6" s="1">
        <v>300</v>
      </c>
      <c r="AJ6" s="1">
        <v>148</v>
      </c>
      <c r="AK6" s="1">
        <v>152</v>
      </c>
      <c r="AL6" s="1">
        <v>146</v>
      </c>
      <c r="AM6" s="1">
        <v>1</v>
      </c>
      <c r="AN6" s="1">
        <v>3</v>
      </c>
      <c r="AO6" s="1">
        <v>1</v>
      </c>
      <c r="AP6" s="1">
        <v>0</v>
      </c>
      <c r="AQ6" s="1">
        <v>1</v>
      </c>
      <c r="AR6" s="1">
        <v>1</v>
      </c>
      <c r="AS6" s="1">
        <v>147</v>
      </c>
      <c r="AT6" s="1">
        <v>139</v>
      </c>
      <c r="AU6" s="1">
        <v>12</v>
      </c>
      <c r="AV6" s="1">
        <v>0</v>
      </c>
      <c r="AW6" s="1">
        <v>149</v>
      </c>
      <c r="AX6" s="1">
        <v>0.92003909199946698</v>
      </c>
      <c r="AY6" s="1">
        <v>0.87367021276595702</v>
      </c>
      <c r="AZ6" s="1">
        <v>0.96001421716723001</v>
      </c>
      <c r="BA6" s="1">
        <v>744.5</v>
      </c>
      <c r="BB6" s="1">
        <v>912.58</v>
      </c>
      <c r="BC6" s="1">
        <v>151</v>
      </c>
      <c r="BD6" s="1">
        <v>149</v>
      </c>
      <c r="BE6" s="1">
        <v>0.91552197973993099</v>
      </c>
      <c r="BF6" s="1">
        <v>0.98528054613521299</v>
      </c>
      <c r="BG6" s="1">
        <v>0.96317506562911603</v>
      </c>
      <c r="BH6" s="1">
        <v>0.99983009626088404</v>
      </c>
      <c r="BI6" s="1">
        <v>0.91552197973993099</v>
      </c>
      <c r="BJ6" s="1">
        <v>0.96317506562911603</v>
      </c>
      <c r="BK6" s="1">
        <v>0.99389499389499403</v>
      </c>
      <c r="BL6" s="1">
        <v>1</v>
      </c>
      <c r="BM6" s="1">
        <v>3</v>
      </c>
      <c r="BN6" s="4" t="s">
        <v>167</v>
      </c>
      <c r="BO6" s="4" t="s">
        <v>85</v>
      </c>
      <c r="BP6" s="4" t="s">
        <v>82</v>
      </c>
      <c r="BQ6" s="4" t="s">
        <v>83</v>
      </c>
      <c r="BR6" s="4" t="s">
        <v>86</v>
      </c>
      <c r="BS6" s="5">
        <v>0.26200000000000001</v>
      </c>
      <c r="BT6" s="6" t="s">
        <v>189</v>
      </c>
      <c r="BU6" s="6" t="s">
        <v>138</v>
      </c>
      <c r="BV6" s="7">
        <v>0.98499999999999999</v>
      </c>
      <c r="BW6" s="7">
        <v>0.98099999999999998</v>
      </c>
      <c r="BX6" s="7">
        <v>0.98499999999999999</v>
      </c>
      <c r="BY6" s="7">
        <v>0.96899999999999997</v>
      </c>
      <c r="BZ6" s="7">
        <v>0.98299999999999998</v>
      </c>
      <c r="CA6" s="7">
        <v>0.95799999999999996</v>
      </c>
      <c r="CB6" s="7">
        <v>0.92</v>
      </c>
    </row>
    <row r="7" spans="1:80" x14ac:dyDescent="0.2">
      <c r="A7" s="1" t="s">
        <v>166</v>
      </c>
      <c r="B7" s="1" t="s">
        <v>81</v>
      </c>
      <c r="C7" s="1" t="s">
        <v>206</v>
      </c>
      <c r="D7" s="1" t="s">
        <v>83</v>
      </c>
      <c r="E7" s="1">
        <v>313</v>
      </c>
      <c r="F7" s="1">
        <v>1000</v>
      </c>
      <c r="G7" s="1">
        <v>0.313</v>
      </c>
      <c r="H7" s="1">
        <v>0.98180973245701397</v>
      </c>
      <c r="I7" s="1">
        <v>0.96221479872414295</v>
      </c>
      <c r="J7" s="1">
        <v>1</v>
      </c>
      <c r="K7" s="1">
        <v>0.96426941383582199</v>
      </c>
      <c r="L7" s="1">
        <v>0.92718107519489501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0.98398176025255002</v>
      </c>
      <c r="U7" s="1">
        <v>0.96788874335981001</v>
      </c>
      <c r="V7" s="1">
        <v>1</v>
      </c>
      <c r="W7" s="1">
        <v>0.313</v>
      </c>
      <c r="X7" s="1">
        <v>0.313</v>
      </c>
      <c r="Y7" s="1">
        <v>0.313</v>
      </c>
      <c r="Z7" s="1">
        <v>0.974075723536865</v>
      </c>
      <c r="AA7" s="1">
        <v>0.94731627545115504</v>
      </c>
      <c r="AB7" s="1">
        <v>1</v>
      </c>
      <c r="AC7" s="1">
        <v>0.99162954984991403</v>
      </c>
      <c r="AD7" s="1">
        <v>0.98242335477748299</v>
      </c>
      <c r="AE7" s="1">
        <v>1</v>
      </c>
      <c r="AF7" s="1">
        <v>0.98339806536607699</v>
      </c>
      <c r="AG7" s="1">
        <v>0.96545391385868995</v>
      </c>
      <c r="AH7" s="1">
        <v>1</v>
      </c>
      <c r="AI7" s="1">
        <v>200</v>
      </c>
      <c r="AJ7" s="1">
        <v>97</v>
      </c>
      <c r="AK7" s="1">
        <v>103</v>
      </c>
      <c r="AL7" s="1">
        <v>96</v>
      </c>
      <c r="AM7" s="1">
        <v>1</v>
      </c>
      <c r="AN7" s="1">
        <v>2</v>
      </c>
      <c r="AO7" s="1">
        <v>1</v>
      </c>
      <c r="AP7" s="1">
        <v>0</v>
      </c>
      <c r="AQ7" s="1">
        <v>0</v>
      </c>
      <c r="AR7" s="1">
        <v>2</v>
      </c>
      <c r="AS7" s="1">
        <v>98</v>
      </c>
      <c r="AT7" s="1">
        <v>93</v>
      </c>
      <c r="AU7" s="1">
        <v>5</v>
      </c>
      <c r="AV7" s="1">
        <v>0</v>
      </c>
      <c r="AW7" s="1">
        <v>102</v>
      </c>
      <c r="AX7" s="1">
        <v>0.94992990186260795</v>
      </c>
      <c r="AY7" s="1">
        <v>0.90020955992415896</v>
      </c>
      <c r="AZ7" s="1">
        <v>0.98995782285599498</v>
      </c>
      <c r="BA7" s="1">
        <v>622</v>
      </c>
      <c r="BB7" s="1">
        <v>813.72</v>
      </c>
      <c r="BC7" s="1">
        <v>100</v>
      </c>
      <c r="BD7" s="1">
        <v>100</v>
      </c>
      <c r="BE7" s="1">
        <v>0.90074284328734</v>
      </c>
      <c r="BF7" s="1">
        <v>0.98899550601381203</v>
      </c>
      <c r="BG7" s="1">
        <v>0.96378330735482398</v>
      </c>
      <c r="BH7" s="1">
        <v>1</v>
      </c>
      <c r="BI7" s="1">
        <v>0.90074284328734</v>
      </c>
      <c r="BJ7" s="1">
        <v>0.96378330735482398</v>
      </c>
      <c r="BK7" s="1">
        <v>1</v>
      </c>
      <c r="BL7" s="1">
        <v>1</v>
      </c>
      <c r="BM7" s="1">
        <v>3</v>
      </c>
      <c r="BN7" s="4" t="s">
        <v>167</v>
      </c>
      <c r="BO7" s="4" t="s">
        <v>85</v>
      </c>
      <c r="BP7" s="4" t="s">
        <v>206</v>
      </c>
      <c r="BQ7" s="4" t="s">
        <v>83</v>
      </c>
      <c r="BR7" s="4" t="s">
        <v>86</v>
      </c>
      <c r="BS7" s="5">
        <v>0.313</v>
      </c>
      <c r="BT7" s="6" t="s">
        <v>218</v>
      </c>
      <c r="BU7" s="6" t="s">
        <v>213</v>
      </c>
      <c r="BV7" s="7">
        <v>0.98299999999999998</v>
      </c>
      <c r="BW7" s="7">
        <v>1</v>
      </c>
      <c r="BX7" s="7">
        <v>0.98399999999999999</v>
      </c>
      <c r="BY7" s="7">
        <v>0.98199999999999998</v>
      </c>
      <c r="BZ7" s="7">
        <v>0.99199999999999999</v>
      </c>
      <c r="CA7" s="7">
        <v>0.97399999999999998</v>
      </c>
      <c r="CB7" s="7">
        <v>0.95</v>
      </c>
    </row>
    <row r="8" spans="1:80" x14ac:dyDescent="0.2">
      <c r="A8" s="1" t="s">
        <v>139</v>
      </c>
      <c r="B8" s="1" t="s">
        <v>81</v>
      </c>
      <c r="C8" s="1" t="s">
        <v>82</v>
      </c>
      <c r="D8" s="1" t="s">
        <v>83</v>
      </c>
      <c r="E8" s="1">
        <v>428</v>
      </c>
      <c r="F8" s="1">
        <v>14379</v>
      </c>
      <c r="G8" s="1">
        <v>2.9765630433270698E-2</v>
      </c>
      <c r="H8" s="1">
        <v>0.85174936802498502</v>
      </c>
      <c r="I8" s="1">
        <v>0.71748703207128794</v>
      </c>
      <c r="J8" s="1">
        <v>0.96078310697485503</v>
      </c>
      <c r="K8" s="1">
        <v>0.75168361737218303</v>
      </c>
      <c r="L8" s="1">
        <v>0.56805527937959799</v>
      </c>
      <c r="M8" s="1">
        <v>0.93435716706787997</v>
      </c>
      <c r="N8" s="1">
        <v>0.99959040314570402</v>
      </c>
      <c r="O8" s="1">
        <v>0.99895738982542803</v>
      </c>
      <c r="P8" s="1">
        <v>1</v>
      </c>
      <c r="Q8" s="1">
        <v>0.98254832893833799</v>
      </c>
      <c r="R8" s="1">
        <v>0.95554110595438102</v>
      </c>
      <c r="S8" s="1">
        <v>1</v>
      </c>
      <c r="T8" s="1">
        <v>0.99243647160929604</v>
      </c>
      <c r="U8" s="1">
        <v>0.98691728055144401</v>
      </c>
      <c r="V8" s="1">
        <v>0.99798941993606605</v>
      </c>
      <c r="W8" s="1">
        <v>2.9765630433270698E-2</v>
      </c>
      <c r="X8" s="1">
        <v>2.9765630433270698E-2</v>
      </c>
      <c r="Y8" s="1">
        <v>2.9765630433270698E-2</v>
      </c>
      <c r="Z8" s="1">
        <v>0.85585089300137496</v>
      </c>
      <c r="AA8" s="1">
        <v>0.73818421962602498</v>
      </c>
      <c r="AB8" s="1">
        <v>0.95997152427969201</v>
      </c>
      <c r="AC8" s="1">
        <v>0.98632975369425602</v>
      </c>
      <c r="AD8" s="1">
        <v>0.96901830777287001</v>
      </c>
      <c r="AE8" s="1">
        <v>0.99832610484791895</v>
      </c>
      <c r="AF8" s="1">
        <v>0.99014039720108105</v>
      </c>
      <c r="AG8" s="1">
        <v>0.97770559535597601</v>
      </c>
      <c r="AH8" s="1">
        <v>0.99788822923731202</v>
      </c>
      <c r="AI8" s="1">
        <v>300</v>
      </c>
      <c r="AJ8" s="1">
        <v>121</v>
      </c>
      <c r="AK8" s="1">
        <v>179</v>
      </c>
      <c r="AL8" s="1">
        <v>118</v>
      </c>
      <c r="AM8" s="1">
        <v>1</v>
      </c>
      <c r="AN8" s="1">
        <v>18</v>
      </c>
      <c r="AO8" s="1">
        <v>1</v>
      </c>
      <c r="AP8" s="1">
        <v>2</v>
      </c>
      <c r="AQ8" s="1">
        <v>0</v>
      </c>
      <c r="AR8" s="1">
        <v>12</v>
      </c>
      <c r="AS8" s="1">
        <v>148</v>
      </c>
      <c r="AT8" s="1">
        <v>117</v>
      </c>
      <c r="AU8" s="1">
        <v>3</v>
      </c>
      <c r="AV8" s="1">
        <v>7</v>
      </c>
      <c r="AW8" s="1">
        <v>173</v>
      </c>
      <c r="AX8" s="1">
        <v>0.93093922651933703</v>
      </c>
      <c r="AY8" s="1">
        <v>0.88567018697095201</v>
      </c>
      <c r="AZ8" s="1">
        <v>0.97161338119446405</v>
      </c>
      <c r="BA8" s="1">
        <v>864.5</v>
      </c>
      <c r="BB8" s="1">
        <v>999.15</v>
      </c>
      <c r="BC8" s="1">
        <v>138</v>
      </c>
      <c r="BD8" s="1">
        <v>162</v>
      </c>
      <c r="BE8" s="1">
        <v>0.67309046843456999</v>
      </c>
      <c r="BF8" s="1">
        <v>0.82294830561827004</v>
      </c>
      <c r="BG8" s="1">
        <v>0.97748643854719497</v>
      </c>
      <c r="BH8" s="1">
        <v>1</v>
      </c>
      <c r="BI8" s="1">
        <v>0.56805527937959799</v>
      </c>
      <c r="BJ8" s="1">
        <v>0.97748643854719497</v>
      </c>
      <c r="BK8" s="1">
        <v>0.93435716706787997</v>
      </c>
      <c r="BL8" s="1">
        <v>1</v>
      </c>
      <c r="BM8" s="1">
        <v>4</v>
      </c>
      <c r="BN8" s="8" t="s">
        <v>140</v>
      </c>
      <c r="BO8" s="8" t="s">
        <v>85</v>
      </c>
      <c r="BP8" s="8" t="s">
        <v>82</v>
      </c>
      <c r="BQ8" s="8" t="s">
        <v>83</v>
      </c>
      <c r="BR8" s="8" t="s">
        <v>86</v>
      </c>
      <c r="BS8" s="7">
        <v>0.03</v>
      </c>
      <c r="BT8" s="9" t="s">
        <v>141</v>
      </c>
      <c r="BU8" s="9" t="s">
        <v>88</v>
      </c>
      <c r="BV8" s="7">
        <v>0.99</v>
      </c>
      <c r="BW8" s="7">
        <v>0.98299999999999998</v>
      </c>
      <c r="BX8" s="7">
        <v>0.99199999999999999</v>
      </c>
      <c r="BY8" s="7">
        <v>0.85199999999999998</v>
      </c>
      <c r="BZ8" s="7">
        <v>0.98599999999999999</v>
      </c>
      <c r="CA8" s="7">
        <v>0.85599999999999998</v>
      </c>
      <c r="CB8" s="7">
        <v>0.93100000000000005</v>
      </c>
    </row>
    <row r="9" spans="1:80" x14ac:dyDescent="0.2">
      <c r="A9" s="1" t="s">
        <v>139</v>
      </c>
      <c r="B9" s="1" t="s">
        <v>81</v>
      </c>
      <c r="C9" s="1" t="s">
        <v>206</v>
      </c>
      <c r="D9" s="1" t="s">
        <v>83</v>
      </c>
      <c r="E9" s="1">
        <v>2024</v>
      </c>
      <c r="F9" s="1">
        <v>65453</v>
      </c>
      <c r="G9" s="1">
        <v>3.0922952347485998E-2</v>
      </c>
      <c r="H9" s="1">
        <v>0.67400111188879597</v>
      </c>
      <c r="I9" s="1">
        <v>0.62258585946772105</v>
      </c>
      <c r="J9" s="1">
        <v>0.886151485541955</v>
      </c>
      <c r="K9" s="1">
        <v>0.52584045220791398</v>
      </c>
      <c r="L9" s="1">
        <v>0.46839067553000402</v>
      </c>
      <c r="M9" s="1">
        <v>0.82</v>
      </c>
      <c r="N9" s="1">
        <v>0.99889865609016204</v>
      </c>
      <c r="O9" s="1">
        <v>0.99785849795309201</v>
      </c>
      <c r="P9" s="1">
        <v>1</v>
      </c>
      <c r="Q9" s="1">
        <v>0.93840617495805001</v>
      </c>
      <c r="R9" s="1">
        <v>0.89022909732271505</v>
      </c>
      <c r="S9" s="1">
        <v>1</v>
      </c>
      <c r="T9" s="1">
        <v>0.98507903907869099</v>
      </c>
      <c r="U9" s="1">
        <v>0.98330482707308298</v>
      </c>
      <c r="V9" s="1">
        <v>0.99428339279215805</v>
      </c>
      <c r="W9" s="1">
        <v>3.0922952347485998E-2</v>
      </c>
      <c r="X9" s="1">
        <v>3.0922952347485998E-2</v>
      </c>
      <c r="Y9" s="1">
        <v>3.0922952347485998E-2</v>
      </c>
      <c r="Z9" s="1">
        <v>0.69612413242186699</v>
      </c>
      <c r="AA9" s="1">
        <v>0.65045713835291297</v>
      </c>
      <c r="AB9" s="1">
        <v>0.88628917973410803</v>
      </c>
      <c r="AC9" s="1">
        <v>0.95573152176006804</v>
      </c>
      <c r="AD9" s="1">
        <v>0.92965228363673202</v>
      </c>
      <c r="AE9" s="1">
        <v>0.98856476612150601</v>
      </c>
      <c r="AF9" s="1">
        <v>0.97370864120273803</v>
      </c>
      <c r="AG9" s="1">
        <v>0.96719581700982404</v>
      </c>
      <c r="AH9" s="1">
        <v>0.993301933007253</v>
      </c>
      <c r="AI9" s="1">
        <v>200</v>
      </c>
      <c r="AJ9" s="1">
        <v>73</v>
      </c>
      <c r="AK9" s="1">
        <v>127</v>
      </c>
      <c r="AL9" s="1">
        <v>70</v>
      </c>
      <c r="AM9" s="1">
        <v>0</v>
      </c>
      <c r="AN9" s="1">
        <v>23</v>
      </c>
      <c r="AO9" s="1">
        <v>1</v>
      </c>
      <c r="AP9" s="1">
        <v>3</v>
      </c>
      <c r="AQ9" s="1">
        <v>0</v>
      </c>
      <c r="AR9" s="1">
        <v>4</v>
      </c>
      <c r="AS9" s="1">
        <v>99</v>
      </c>
      <c r="AT9" s="1">
        <v>68</v>
      </c>
      <c r="AU9" s="1">
        <v>17</v>
      </c>
      <c r="AV9" s="1">
        <v>4</v>
      </c>
      <c r="AW9" s="1">
        <v>111</v>
      </c>
      <c r="AX9" s="1">
        <v>0.78079331941544905</v>
      </c>
      <c r="AY9" s="1">
        <v>0.689972204404533</v>
      </c>
      <c r="AZ9" s="1">
        <v>0.86486556708443996</v>
      </c>
      <c r="BA9" s="1">
        <v>856</v>
      </c>
      <c r="BB9" s="1">
        <v>1004.34</v>
      </c>
      <c r="BC9" s="1">
        <v>94</v>
      </c>
      <c r="BD9" s="1">
        <v>106</v>
      </c>
      <c r="BE9" s="1">
        <v>0.41573235264639002</v>
      </c>
      <c r="BF9" s="1">
        <v>0.62544371038651903</v>
      </c>
      <c r="BG9" s="1">
        <v>0.96579783272365005</v>
      </c>
      <c r="BH9" s="1">
        <v>1</v>
      </c>
      <c r="BI9" s="1">
        <v>0.41573235264639002</v>
      </c>
      <c r="BJ9" s="1">
        <v>0.96579783272365005</v>
      </c>
      <c r="BK9" s="1">
        <v>0.82</v>
      </c>
      <c r="BL9" s="1">
        <v>1</v>
      </c>
      <c r="BM9" s="1">
        <v>4</v>
      </c>
      <c r="BN9" s="8" t="s">
        <v>140</v>
      </c>
      <c r="BO9" s="8" t="s">
        <v>85</v>
      </c>
      <c r="BP9" s="8" t="s">
        <v>206</v>
      </c>
      <c r="BQ9" s="8" t="s">
        <v>83</v>
      </c>
      <c r="BR9" s="8" t="s">
        <v>86</v>
      </c>
      <c r="BS9" s="7">
        <v>3.1E-2</v>
      </c>
      <c r="BT9" s="9" t="s">
        <v>221</v>
      </c>
      <c r="BU9" s="9" t="s">
        <v>222</v>
      </c>
      <c r="BV9" s="7">
        <v>0.97399999999999998</v>
      </c>
      <c r="BW9" s="7">
        <v>0.93799999999999994</v>
      </c>
      <c r="BX9" s="7">
        <v>0.98499999999999999</v>
      </c>
      <c r="BY9" s="7">
        <v>0.67400000000000004</v>
      </c>
      <c r="BZ9" s="7">
        <v>0.95599999999999996</v>
      </c>
      <c r="CA9" s="7">
        <v>0.69599999999999995</v>
      </c>
      <c r="CB9" s="7">
        <v>0.78100000000000003</v>
      </c>
    </row>
  </sheetData>
  <sortState xmlns:xlrd2="http://schemas.microsoft.com/office/spreadsheetml/2017/richdata2" ref="A2:CB9">
    <sortCondition ref="BM2:BM9"/>
    <sortCondition descending="1" ref="BP2:BP9"/>
  </sortState>
  <conditionalFormatting sqref="BV2:CB9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30CC-B825-F745-ACB0-9F0D15885E0B}">
  <dimension ref="A1:CB9"/>
  <sheetViews>
    <sheetView topLeftCell="BN1" workbookViewId="0">
      <selection activeCell="BU22" sqref="BU22"/>
    </sheetView>
  </sheetViews>
  <sheetFormatPr baseColWidth="10" defaultRowHeight="16" x14ac:dyDescent="0.2"/>
  <cols>
    <col min="1" max="3" width="0" style="1" hidden="1" customWidth="1"/>
    <col min="4" max="4" width="22.83203125" style="1" hidden="1" customWidth="1"/>
    <col min="5" max="65" width="0" style="1" hidden="1" customWidth="1"/>
    <col min="66" max="66" width="10.83203125" style="1"/>
    <col min="67" max="67" width="0" style="1" hidden="1" customWidth="1"/>
    <col min="68" max="68" width="8.33203125" style="1" customWidth="1"/>
    <col min="69" max="70" width="0" style="1" hidden="1" customWidth="1"/>
    <col min="71" max="71" width="11.5" style="1" customWidth="1"/>
    <col min="72" max="73" width="18.83203125" style="1" customWidth="1"/>
    <col min="74" max="74" width="6.6640625" style="1" customWidth="1"/>
    <col min="75" max="75" width="12.1640625" style="1" customWidth="1"/>
    <col min="76" max="76" width="10.83203125" style="1"/>
    <col min="77" max="77" width="6.83203125" style="1" customWidth="1"/>
    <col min="78" max="79" width="7.33203125" style="1" customWidth="1"/>
    <col min="80" max="80" width="9.5" style="1" customWidth="1"/>
    <col min="81" max="16384" width="10.83203125" style="1"/>
  </cols>
  <sheetData>
    <row r="1" spans="1:80" ht="5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126</v>
      </c>
      <c r="C2" s="1" t="s">
        <v>82</v>
      </c>
      <c r="D2" s="1" t="s">
        <v>83</v>
      </c>
      <c r="E2" s="1">
        <v>522</v>
      </c>
      <c r="F2" s="1">
        <v>1000</v>
      </c>
      <c r="G2" s="1">
        <v>0.52200000000000002</v>
      </c>
      <c r="H2" s="1">
        <v>0.950473379471797</v>
      </c>
      <c r="I2" s="1">
        <v>0.92759258835660796</v>
      </c>
      <c r="J2" s="1">
        <v>0.97159206009893795</v>
      </c>
      <c r="K2" s="1">
        <v>0.98168999400526502</v>
      </c>
      <c r="L2" s="1">
        <v>0.95771107252129295</v>
      </c>
      <c r="M2" s="1">
        <v>1</v>
      </c>
      <c r="N2" s="1">
        <v>0.908271644673318</v>
      </c>
      <c r="O2" s="1">
        <v>0.86153212270117796</v>
      </c>
      <c r="P2" s="1">
        <v>0.95237951897895901</v>
      </c>
      <c r="Q2" s="1">
        <v>0.92118088511824803</v>
      </c>
      <c r="R2" s="1">
        <v>0.88536079120355904</v>
      </c>
      <c r="S2" s="1">
        <v>0.95727178349582698</v>
      </c>
      <c r="T2" s="1">
        <v>0.97845938299370305</v>
      </c>
      <c r="U2" s="1">
        <v>0.95185533531264399</v>
      </c>
      <c r="V2" s="1">
        <v>1</v>
      </c>
      <c r="W2" s="1">
        <v>0.52200000000000002</v>
      </c>
      <c r="X2" s="1">
        <v>0.52200000000000002</v>
      </c>
      <c r="Y2" s="1">
        <v>0.52200000000000002</v>
      </c>
      <c r="Z2" s="1">
        <v>0.89478786716749303</v>
      </c>
      <c r="AA2" s="1">
        <v>0.84522343035430103</v>
      </c>
      <c r="AB2" s="1">
        <v>0.94026936590015697</v>
      </c>
      <c r="AC2" s="1">
        <v>0.95042303688631302</v>
      </c>
      <c r="AD2" s="1">
        <v>0.92790418579647704</v>
      </c>
      <c r="AE2" s="1">
        <v>0.97144438596314397</v>
      </c>
      <c r="AF2" s="1">
        <v>0.981582592637531</v>
      </c>
      <c r="AG2" s="1">
        <v>0.95733287951408497</v>
      </c>
      <c r="AH2" s="1">
        <v>1</v>
      </c>
      <c r="AI2" s="1">
        <v>300</v>
      </c>
      <c r="AJ2" s="1">
        <v>164</v>
      </c>
      <c r="AK2" s="1">
        <v>136</v>
      </c>
      <c r="AL2" s="1">
        <v>145</v>
      </c>
      <c r="AM2" s="1">
        <v>6</v>
      </c>
      <c r="AN2" s="1">
        <v>2</v>
      </c>
      <c r="AO2" s="1">
        <v>1</v>
      </c>
      <c r="AP2" s="1">
        <v>2</v>
      </c>
      <c r="AQ2" s="1">
        <v>11</v>
      </c>
      <c r="AR2" s="1">
        <v>1</v>
      </c>
      <c r="AS2" s="1">
        <v>132</v>
      </c>
      <c r="AT2" s="1">
        <v>155</v>
      </c>
      <c r="AU2" s="1">
        <v>1</v>
      </c>
      <c r="AV2" s="1">
        <v>11</v>
      </c>
      <c r="AW2" s="1">
        <v>133</v>
      </c>
      <c r="AX2" s="1">
        <v>0.91965720407070195</v>
      </c>
      <c r="AY2" s="1">
        <v>0.87247152420886798</v>
      </c>
      <c r="AZ2" s="1">
        <v>0.95990198262419202</v>
      </c>
      <c r="BA2" s="1">
        <v>679</v>
      </c>
      <c r="BB2" s="1">
        <v>1092.37666666667</v>
      </c>
      <c r="BC2" s="1">
        <v>154</v>
      </c>
      <c r="BD2" s="1">
        <v>146</v>
      </c>
      <c r="BE2" s="1">
        <v>0.94412701716963898</v>
      </c>
      <c r="BF2" s="1">
        <v>0.99596448951233696</v>
      </c>
      <c r="BG2" s="1">
        <v>0.85255027131160699</v>
      </c>
      <c r="BH2" s="1">
        <v>0.95173472464491604</v>
      </c>
      <c r="BI2" s="1">
        <v>0.94412701716963898</v>
      </c>
      <c r="BJ2" s="1">
        <v>0.85255027131160699</v>
      </c>
      <c r="BK2" s="1">
        <v>1</v>
      </c>
      <c r="BL2" s="1">
        <v>0.95237951897895901</v>
      </c>
      <c r="BM2" s="1">
        <v>1</v>
      </c>
      <c r="BN2" s="4" t="s">
        <v>84</v>
      </c>
      <c r="BO2" s="4" t="s">
        <v>127</v>
      </c>
      <c r="BP2" s="4" t="s">
        <v>82</v>
      </c>
      <c r="BQ2" s="4" t="s">
        <v>83</v>
      </c>
      <c r="BR2" s="4" t="s">
        <v>86</v>
      </c>
      <c r="BS2" s="5">
        <v>0.52200000000000002</v>
      </c>
      <c r="BT2" s="6" t="s">
        <v>128</v>
      </c>
      <c r="BU2" s="6" t="s">
        <v>129</v>
      </c>
      <c r="BV2" s="7">
        <v>0.98199999999999998</v>
      </c>
      <c r="BW2" s="7">
        <v>0.92100000000000004</v>
      </c>
      <c r="BX2" s="7">
        <v>0.97799999999999998</v>
      </c>
      <c r="BY2" s="7">
        <v>0.95</v>
      </c>
      <c r="BZ2" s="7">
        <v>0.95</v>
      </c>
      <c r="CA2" s="7">
        <v>0.89500000000000002</v>
      </c>
      <c r="CB2" s="7">
        <v>0.92</v>
      </c>
    </row>
    <row r="3" spans="1:80" x14ac:dyDescent="0.2">
      <c r="A3" s="1" t="s">
        <v>80</v>
      </c>
      <c r="B3" s="1" t="s">
        <v>126</v>
      </c>
      <c r="C3" s="1" t="s">
        <v>206</v>
      </c>
      <c r="D3" s="1" t="s">
        <v>83</v>
      </c>
      <c r="E3" s="1">
        <v>180</v>
      </c>
      <c r="F3" s="1">
        <v>343</v>
      </c>
      <c r="G3" s="1">
        <v>0.524781341107872</v>
      </c>
      <c r="H3" s="1">
        <v>0.96389992552142501</v>
      </c>
      <c r="I3" s="1">
        <v>0.93912839459018005</v>
      </c>
      <c r="J3" s="1">
        <v>0.98712025508895096</v>
      </c>
      <c r="K3" s="1">
        <v>0.97140893470790401</v>
      </c>
      <c r="L3" s="1">
        <v>0.93435740382548904</v>
      </c>
      <c r="M3" s="1">
        <v>1</v>
      </c>
      <c r="N3" s="1">
        <v>0.95122161231299096</v>
      </c>
      <c r="O3" s="1">
        <v>0.91254101869025495</v>
      </c>
      <c r="P3" s="1">
        <v>0.99045720128542203</v>
      </c>
      <c r="Q3" s="1">
        <v>0.95650611540615404</v>
      </c>
      <c r="R3" s="1">
        <v>0.92471868237689703</v>
      </c>
      <c r="S3" s="1">
        <v>0.99123403999582504</v>
      </c>
      <c r="T3" s="1">
        <v>0.96787430804959995</v>
      </c>
      <c r="U3" s="1">
        <v>0.92918974046553704</v>
      </c>
      <c r="V3" s="1">
        <v>1</v>
      </c>
      <c r="W3" s="1">
        <v>0.524781341107872</v>
      </c>
      <c r="X3" s="1">
        <v>0.524781341107872</v>
      </c>
      <c r="Y3" s="1">
        <v>0.524781341107872</v>
      </c>
      <c r="Z3" s="1">
        <v>0.92350507077567701</v>
      </c>
      <c r="AA3" s="1">
        <v>0.87118929249917398</v>
      </c>
      <c r="AB3" s="1">
        <v>0.97299805474510404</v>
      </c>
      <c r="AC3" s="1">
        <v>0.96313123854154603</v>
      </c>
      <c r="AD3" s="1">
        <v>0.93832356868469002</v>
      </c>
      <c r="AE3" s="1">
        <v>0.98660418004181005</v>
      </c>
      <c r="AF3" s="1">
        <v>0.96984877800470304</v>
      </c>
      <c r="AG3" s="1">
        <v>0.93115233446408796</v>
      </c>
      <c r="AH3" s="1">
        <v>1</v>
      </c>
      <c r="AI3" s="1">
        <v>200</v>
      </c>
      <c r="AJ3" s="1">
        <v>103</v>
      </c>
      <c r="AK3" s="1">
        <v>97</v>
      </c>
      <c r="AL3" s="1">
        <v>95</v>
      </c>
      <c r="AM3" s="1">
        <v>4</v>
      </c>
      <c r="AN3" s="1">
        <v>2</v>
      </c>
      <c r="AO3" s="1">
        <v>1</v>
      </c>
      <c r="AP3" s="1">
        <v>2</v>
      </c>
      <c r="AQ3" s="1">
        <v>2</v>
      </c>
      <c r="AR3" s="1">
        <v>1</v>
      </c>
      <c r="AS3" s="1">
        <v>93</v>
      </c>
      <c r="AT3" s="1">
        <v>99</v>
      </c>
      <c r="AU3" s="1">
        <v>1</v>
      </c>
      <c r="AV3" s="1">
        <v>5</v>
      </c>
      <c r="AW3" s="1">
        <v>95</v>
      </c>
      <c r="AX3" s="1">
        <v>0.94</v>
      </c>
      <c r="AY3" s="1">
        <v>0.889801642957323</v>
      </c>
      <c r="AZ3" s="1">
        <v>0.97999199679871996</v>
      </c>
      <c r="BA3" s="1">
        <v>618.5</v>
      </c>
      <c r="BB3" s="1">
        <v>857.28499999999997</v>
      </c>
      <c r="BC3" s="1">
        <v>102</v>
      </c>
      <c r="BD3" s="1">
        <v>98</v>
      </c>
      <c r="BE3" s="1">
        <v>0.91644665814164405</v>
      </c>
      <c r="BF3" s="1">
        <v>0.99389302613757102</v>
      </c>
      <c r="BG3" s="1">
        <v>0.88494160006947797</v>
      </c>
      <c r="BH3" s="1">
        <v>0.98322858402902003</v>
      </c>
      <c r="BI3" s="1">
        <v>0.91644665814164405</v>
      </c>
      <c r="BJ3" s="1">
        <v>0.88494160006947797</v>
      </c>
      <c r="BK3" s="1">
        <v>1</v>
      </c>
      <c r="BL3" s="1">
        <v>0.99045720128542203</v>
      </c>
      <c r="BM3" s="1">
        <v>1</v>
      </c>
      <c r="BN3" s="4" t="s">
        <v>84</v>
      </c>
      <c r="BO3" s="4" t="s">
        <v>127</v>
      </c>
      <c r="BP3" s="4" t="s">
        <v>206</v>
      </c>
      <c r="BQ3" s="4" t="s">
        <v>83</v>
      </c>
      <c r="BR3" s="4" t="s">
        <v>86</v>
      </c>
      <c r="BS3" s="5">
        <v>0.52500000000000002</v>
      </c>
      <c r="BT3" s="6" t="s">
        <v>233</v>
      </c>
      <c r="BU3" s="6" t="s">
        <v>234</v>
      </c>
      <c r="BV3" s="7">
        <v>0.97</v>
      </c>
      <c r="BW3" s="7">
        <v>0.95699999999999996</v>
      </c>
      <c r="BX3" s="7">
        <v>0.96799999999999997</v>
      </c>
      <c r="BY3" s="7">
        <v>0.96399999999999997</v>
      </c>
      <c r="BZ3" s="7">
        <v>0.96299999999999997</v>
      </c>
      <c r="CA3" s="7">
        <v>0.92400000000000004</v>
      </c>
      <c r="CB3" s="7">
        <v>0.94</v>
      </c>
    </row>
    <row r="4" spans="1:80" x14ac:dyDescent="0.2">
      <c r="A4" s="1" t="s">
        <v>158</v>
      </c>
      <c r="B4" s="1" t="s">
        <v>126</v>
      </c>
      <c r="C4" s="1" t="s">
        <v>82</v>
      </c>
      <c r="D4" s="1" t="s">
        <v>83</v>
      </c>
      <c r="E4" s="1">
        <v>306</v>
      </c>
      <c r="F4" s="1">
        <v>1000</v>
      </c>
      <c r="G4" s="1">
        <v>0.30599999999999999</v>
      </c>
      <c r="H4" s="1">
        <v>0.96479127593801195</v>
      </c>
      <c r="I4" s="1">
        <v>0.93029974321314401</v>
      </c>
      <c r="J4" s="1">
        <v>0.99218795711263796</v>
      </c>
      <c r="K4" s="1">
        <v>0.97694989106753805</v>
      </c>
      <c r="L4" s="1">
        <v>0.93483680505465305</v>
      </c>
      <c r="M4" s="1">
        <v>1</v>
      </c>
      <c r="N4" s="1">
        <v>0.97872340425531901</v>
      </c>
      <c r="O4" s="1">
        <v>0.95138465447154497</v>
      </c>
      <c r="P4" s="1">
        <v>1</v>
      </c>
      <c r="Q4" s="1">
        <v>0.95293158033236403</v>
      </c>
      <c r="R4" s="1">
        <v>0.898800082423582</v>
      </c>
      <c r="S4" s="1">
        <v>1</v>
      </c>
      <c r="T4" s="1">
        <v>0.98972247839438698</v>
      </c>
      <c r="U4" s="1">
        <v>0.97130151824661104</v>
      </c>
      <c r="V4" s="1">
        <v>1</v>
      </c>
      <c r="W4" s="1">
        <v>0.30599999999999999</v>
      </c>
      <c r="X4" s="1">
        <v>0.30599999999999999</v>
      </c>
      <c r="Y4" s="1">
        <v>0.30599999999999999</v>
      </c>
      <c r="Z4" s="1">
        <v>0.94914135441084801</v>
      </c>
      <c r="AA4" s="1">
        <v>0.89982009890549797</v>
      </c>
      <c r="AB4" s="1">
        <v>0.98876762594577094</v>
      </c>
      <c r="AC4" s="1">
        <v>0.97120063636314502</v>
      </c>
      <c r="AD4" s="1">
        <v>0.94131964926045497</v>
      </c>
      <c r="AE4" s="1">
        <v>0.99474472117488399</v>
      </c>
      <c r="AF4" s="1">
        <v>0.99018387189632096</v>
      </c>
      <c r="AG4" s="1">
        <v>0.971247680265243</v>
      </c>
      <c r="AH4" s="1">
        <v>1</v>
      </c>
      <c r="AI4" s="1">
        <v>300</v>
      </c>
      <c r="AJ4" s="1">
        <v>160</v>
      </c>
      <c r="AK4" s="1">
        <v>140</v>
      </c>
      <c r="AL4" s="1">
        <v>149</v>
      </c>
      <c r="AM4" s="1">
        <v>8</v>
      </c>
      <c r="AN4" s="1">
        <v>1</v>
      </c>
      <c r="AO4" s="1">
        <v>1</v>
      </c>
      <c r="AP4" s="1">
        <v>0</v>
      </c>
      <c r="AQ4" s="1">
        <v>3</v>
      </c>
      <c r="AR4" s="1">
        <v>0</v>
      </c>
      <c r="AS4" s="1">
        <v>138</v>
      </c>
      <c r="AT4" s="1">
        <v>153</v>
      </c>
      <c r="AU4" s="1">
        <v>4</v>
      </c>
      <c r="AV4" s="1">
        <v>4</v>
      </c>
      <c r="AW4" s="1">
        <v>139</v>
      </c>
      <c r="AX4" s="1">
        <v>0.946550265021603</v>
      </c>
      <c r="AY4" s="1">
        <v>0.90628712942756295</v>
      </c>
      <c r="AZ4" s="1">
        <v>0.97996259684744902</v>
      </c>
      <c r="BA4" s="1">
        <v>517</v>
      </c>
      <c r="BB4" s="1">
        <v>881.28666666666697</v>
      </c>
      <c r="BC4" s="1">
        <v>159</v>
      </c>
      <c r="BD4" s="1">
        <v>141</v>
      </c>
      <c r="BE4" s="1">
        <v>0.93684239379312695</v>
      </c>
      <c r="BF4" s="1">
        <v>0.99310389550372002</v>
      </c>
      <c r="BG4" s="1">
        <v>0.93908113846032304</v>
      </c>
      <c r="BH4" s="1">
        <v>0.99559057680495</v>
      </c>
      <c r="BI4" s="1">
        <v>0.93483680505465305</v>
      </c>
      <c r="BJ4" s="1">
        <v>0.93908113846032304</v>
      </c>
      <c r="BK4" s="1">
        <v>1</v>
      </c>
      <c r="BL4" s="1">
        <v>1</v>
      </c>
      <c r="BM4" s="1">
        <v>2</v>
      </c>
      <c r="BN4" s="8" t="s">
        <v>159</v>
      </c>
      <c r="BO4" s="8" t="s">
        <v>127</v>
      </c>
      <c r="BP4" s="8" t="s">
        <v>82</v>
      </c>
      <c r="BQ4" s="8" t="s">
        <v>83</v>
      </c>
      <c r="BR4" s="8" t="s">
        <v>86</v>
      </c>
      <c r="BS4" s="7">
        <v>0.30599999999999999</v>
      </c>
      <c r="BT4" s="9" t="s">
        <v>244</v>
      </c>
      <c r="BU4" s="9" t="s">
        <v>161</v>
      </c>
      <c r="BV4" s="7">
        <v>0.99</v>
      </c>
      <c r="BW4" s="7">
        <v>0.95299999999999996</v>
      </c>
      <c r="BX4" s="7">
        <v>0.99</v>
      </c>
      <c r="BY4" s="7">
        <v>0.96499999999999997</v>
      </c>
      <c r="BZ4" s="7">
        <v>0.97099999999999997</v>
      </c>
      <c r="CA4" s="7">
        <v>0.94899999999999995</v>
      </c>
      <c r="CB4" s="7">
        <v>0.94699999999999995</v>
      </c>
    </row>
    <row r="5" spans="1:80" x14ac:dyDescent="0.2">
      <c r="A5" s="1" t="s">
        <v>158</v>
      </c>
      <c r="B5" s="1" t="s">
        <v>126</v>
      </c>
      <c r="C5" s="1" t="s">
        <v>206</v>
      </c>
      <c r="D5" s="1" t="s">
        <v>83</v>
      </c>
      <c r="E5" s="1">
        <v>322</v>
      </c>
      <c r="F5" s="1">
        <v>783</v>
      </c>
      <c r="G5" s="1">
        <v>0.41123882503192799</v>
      </c>
      <c r="H5" s="1">
        <v>0.97529986098089305</v>
      </c>
      <c r="I5" s="1">
        <v>0.93403777786003905</v>
      </c>
      <c r="J5" s="1">
        <v>1</v>
      </c>
      <c r="K5" s="1">
        <v>0.96583850931676996</v>
      </c>
      <c r="L5" s="1">
        <v>0.89751552795030998</v>
      </c>
      <c r="M5" s="1">
        <v>1</v>
      </c>
      <c r="N5" s="1">
        <v>0.98969072164948502</v>
      </c>
      <c r="O5" s="1">
        <v>0.96666666666666701</v>
      </c>
      <c r="P5" s="1">
        <v>1</v>
      </c>
      <c r="Q5" s="1">
        <v>0.98494841321666504</v>
      </c>
      <c r="R5" s="1">
        <v>0.95241208450898096</v>
      </c>
      <c r="S5" s="1">
        <v>1</v>
      </c>
      <c r="T5" s="1">
        <v>0.97645786907309795</v>
      </c>
      <c r="U5" s="1">
        <v>0.932465554577255</v>
      </c>
      <c r="V5" s="1">
        <v>1</v>
      </c>
      <c r="W5" s="1">
        <v>0.41123882503192799</v>
      </c>
      <c r="X5" s="1">
        <v>0.41123882503192799</v>
      </c>
      <c r="Y5" s="1">
        <v>0.41123882503192799</v>
      </c>
      <c r="Z5" s="1">
        <v>0.95846325206679805</v>
      </c>
      <c r="AA5" s="1">
        <v>0.89129875282336601</v>
      </c>
      <c r="AB5" s="1">
        <v>1</v>
      </c>
      <c r="AC5" s="1">
        <v>0.98057727291643004</v>
      </c>
      <c r="AD5" s="1">
        <v>0.94898073461311405</v>
      </c>
      <c r="AE5" s="1">
        <v>1</v>
      </c>
      <c r="AF5" s="1">
        <v>0.97624475889717</v>
      </c>
      <c r="AG5" s="1">
        <v>0.92613395432901202</v>
      </c>
      <c r="AH5" s="1">
        <v>1</v>
      </c>
      <c r="AI5" s="1">
        <v>200</v>
      </c>
      <c r="AJ5" s="1">
        <v>103</v>
      </c>
      <c r="AK5" s="1">
        <v>97</v>
      </c>
      <c r="AL5" s="1">
        <v>100</v>
      </c>
      <c r="AM5" s="1">
        <v>2</v>
      </c>
      <c r="AN5" s="1">
        <v>0</v>
      </c>
      <c r="AO5" s="1">
        <v>1</v>
      </c>
      <c r="AP5" s="1">
        <v>0</v>
      </c>
      <c r="AQ5" s="1">
        <v>1</v>
      </c>
      <c r="AR5" s="1">
        <v>0</v>
      </c>
      <c r="AS5" s="1">
        <v>96</v>
      </c>
      <c r="AT5" s="1">
        <v>101</v>
      </c>
      <c r="AU5" s="1">
        <v>2</v>
      </c>
      <c r="AV5" s="1">
        <v>3</v>
      </c>
      <c r="AW5" s="1">
        <v>94</v>
      </c>
      <c r="AX5" s="1">
        <v>0.94993992791349602</v>
      </c>
      <c r="AY5" s="1">
        <v>0.89999974997499799</v>
      </c>
      <c r="AZ5" s="1">
        <v>0.98995782285599498</v>
      </c>
      <c r="BA5" s="1">
        <v>487.5</v>
      </c>
      <c r="BB5" s="1">
        <v>673.80499999999995</v>
      </c>
      <c r="BC5" s="1">
        <v>103</v>
      </c>
      <c r="BD5" s="1">
        <v>97</v>
      </c>
      <c r="BE5" s="1">
        <v>0.903545521623496</v>
      </c>
      <c r="BF5" s="1">
        <v>0.98931906721016905</v>
      </c>
      <c r="BG5" s="1">
        <v>0.94389584589490805</v>
      </c>
      <c r="BH5" s="1">
        <v>0.99973902572997597</v>
      </c>
      <c r="BI5" s="1">
        <v>0.89751552795030998</v>
      </c>
      <c r="BJ5" s="1">
        <v>0.94389584589490805</v>
      </c>
      <c r="BK5" s="1">
        <v>1</v>
      </c>
      <c r="BL5" s="1">
        <v>1</v>
      </c>
      <c r="BM5" s="1">
        <v>2</v>
      </c>
      <c r="BN5" s="8" t="s">
        <v>159</v>
      </c>
      <c r="BO5" s="8" t="s">
        <v>127</v>
      </c>
      <c r="BP5" s="8" t="s">
        <v>206</v>
      </c>
      <c r="BQ5" s="8" t="s">
        <v>83</v>
      </c>
      <c r="BR5" s="8" t="s">
        <v>86</v>
      </c>
      <c r="BS5" s="7">
        <v>0.41099999999999998</v>
      </c>
      <c r="BT5" s="9" t="s">
        <v>228</v>
      </c>
      <c r="BU5" s="9" t="s">
        <v>211</v>
      </c>
      <c r="BV5" s="7">
        <v>0.97599999999999998</v>
      </c>
      <c r="BW5" s="7">
        <v>0.98499999999999999</v>
      </c>
      <c r="BX5" s="7">
        <v>0.97599999999999998</v>
      </c>
      <c r="BY5" s="7">
        <v>0.97499999999999998</v>
      </c>
      <c r="BZ5" s="7">
        <v>0.98099999999999998</v>
      </c>
      <c r="CA5" s="7">
        <v>0.95799999999999996</v>
      </c>
      <c r="CB5" s="7">
        <v>0.95</v>
      </c>
    </row>
    <row r="6" spans="1:80" x14ac:dyDescent="0.2">
      <c r="A6" s="1" t="s">
        <v>166</v>
      </c>
      <c r="B6" s="1" t="s">
        <v>126</v>
      </c>
      <c r="C6" s="1" t="s">
        <v>82</v>
      </c>
      <c r="D6" s="1" t="s">
        <v>83</v>
      </c>
      <c r="E6" s="1">
        <v>751</v>
      </c>
      <c r="F6" s="1">
        <v>838</v>
      </c>
      <c r="G6" s="1">
        <v>0.89618138424821003</v>
      </c>
      <c r="H6" s="1">
        <v>0.99241274082655895</v>
      </c>
      <c r="I6" s="1">
        <v>0.98154161985421295</v>
      </c>
      <c r="J6" s="1">
        <v>0.99962883800698799</v>
      </c>
      <c r="K6" s="1">
        <v>0.9857212605415</v>
      </c>
      <c r="L6" s="1">
        <v>0.96468005364331999</v>
      </c>
      <c r="M6" s="1">
        <v>1</v>
      </c>
      <c r="N6" s="1">
        <v>0.99315068493150704</v>
      </c>
      <c r="O6" s="1">
        <v>0.97777777777777797</v>
      </c>
      <c r="P6" s="1">
        <v>1</v>
      </c>
      <c r="Q6" s="1">
        <v>0.99919569107363204</v>
      </c>
      <c r="R6" s="1">
        <v>0.99740372940118105</v>
      </c>
      <c r="S6" s="1">
        <v>1</v>
      </c>
      <c r="T6" s="1">
        <v>0.88959522653238599</v>
      </c>
      <c r="U6" s="1">
        <v>0.76486305646806596</v>
      </c>
      <c r="V6" s="1">
        <v>1</v>
      </c>
      <c r="W6" s="1">
        <v>0.89618138424821003</v>
      </c>
      <c r="X6" s="1">
        <v>0.89618138424821003</v>
      </c>
      <c r="Y6" s="1">
        <v>0.89618138424821003</v>
      </c>
      <c r="Z6" s="1">
        <v>0.93274460311263196</v>
      </c>
      <c r="AA6" s="1">
        <v>0.85480298292044399</v>
      </c>
      <c r="AB6" s="1">
        <v>0.99641981701766702</v>
      </c>
      <c r="AC6" s="1">
        <v>0.94084594229048502</v>
      </c>
      <c r="AD6" s="1">
        <v>0.863306166157911</v>
      </c>
      <c r="AE6" s="1">
        <v>0.99961399725805</v>
      </c>
      <c r="AF6" s="1">
        <v>0.88893505287874697</v>
      </c>
      <c r="AG6" s="1">
        <v>0.76001178246029599</v>
      </c>
      <c r="AH6" s="1">
        <v>1</v>
      </c>
      <c r="AI6" s="1">
        <v>300</v>
      </c>
      <c r="AJ6" s="1">
        <v>152</v>
      </c>
      <c r="AK6" s="1">
        <v>148</v>
      </c>
      <c r="AL6" s="1">
        <v>148</v>
      </c>
      <c r="AM6" s="1">
        <v>3</v>
      </c>
      <c r="AN6" s="1">
        <v>2</v>
      </c>
      <c r="AO6" s="1">
        <v>1</v>
      </c>
      <c r="AP6" s="1">
        <v>0</v>
      </c>
      <c r="AQ6" s="1">
        <v>1</v>
      </c>
      <c r="AR6" s="1">
        <v>0</v>
      </c>
      <c r="AS6" s="1">
        <v>145</v>
      </c>
      <c r="AT6" s="1">
        <v>148</v>
      </c>
      <c r="AU6" s="1">
        <v>5</v>
      </c>
      <c r="AV6" s="1">
        <v>2</v>
      </c>
      <c r="AW6" s="1">
        <v>145</v>
      </c>
      <c r="AX6" s="1">
        <v>0.95333333333333303</v>
      </c>
      <c r="AY6" s="1">
        <v>0.91336413719566401</v>
      </c>
      <c r="AZ6" s="1">
        <v>0.98659457527145999</v>
      </c>
      <c r="BA6" s="1">
        <v>363.5</v>
      </c>
      <c r="BB6" s="1">
        <v>587.79</v>
      </c>
      <c r="BC6" s="1">
        <v>154</v>
      </c>
      <c r="BD6" s="1">
        <v>146</v>
      </c>
      <c r="BE6" s="1">
        <v>0.95387554904439797</v>
      </c>
      <c r="BF6" s="1">
        <v>0.99842332460439498</v>
      </c>
      <c r="BG6" s="1">
        <v>0.96243020690661496</v>
      </c>
      <c r="BH6" s="1">
        <v>0.99982660539085499</v>
      </c>
      <c r="BI6" s="1">
        <v>0.95387554904439797</v>
      </c>
      <c r="BJ6" s="1">
        <v>0.96243020690661496</v>
      </c>
      <c r="BK6" s="1">
        <v>1</v>
      </c>
      <c r="BL6" s="1">
        <v>1</v>
      </c>
      <c r="BM6" s="1">
        <v>3</v>
      </c>
      <c r="BN6" s="4" t="s">
        <v>167</v>
      </c>
      <c r="BO6" s="4" t="s">
        <v>127</v>
      </c>
      <c r="BP6" s="4" t="s">
        <v>82</v>
      </c>
      <c r="BQ6" s="4" t="s">
        <v>83</v>
      </c>
      <c r="BR6" s="4" t="s">
        <v>86</v>
      </c>
      <c r="BS6" s="5">
        <v>0.89600000000000002</v>
      </c>
      <c r="BT6" s="6" t="s">
        <v>134</v>
      </c>
      <c r="BU6" s="6" t="s">
        <v>138</v>
      </c>
      <c r="BV6" s="7">
        <v>0.88900000000000001</v>
      </c>
      <c r="BW6" s="7">
        <v>0.999</v>
      </c>
      <c r="BX6" s="7">
        <v>0.89</v>
      </c>
      <c r="BY6" s="7">
        <v>0.99199999999999999</v>
      </c>
      <c r="BZ6" s="7">
        <v>0.94099999999999995</v>
      </c>
      <c r="CA6" s="7">
        <v>0.93300000000000005</v>
      </c>
      <c r="CB6" s="7">
        <v>0.95299999999999996</v>
      </c>
    </row>
    <row r="7" spans="1:80" x14ac:dyDescent="0.2">
      <c r="A7" s="1" t="s">
        <v>166</v>
      </c>
      <c r="B7" s="1" t="s">
        <v>126</v>
      </c>
      <c r="C7" s="1" t="s">
        <v>206</v>
      </c>
      <c r="D7" s="1" t="s">
        <v>83</v>
      </c>
      <c r="E7" s="1">
        <v>870</v>
      </c>
      <c r="F7" s="1">
        <v>1000</v>
      </c>
      <c r="G7" s="1">
        <v>0.87</v>
      </c>
      <c r="H7" s="1">
        <v>0.9930603727142</v>
      </c>
      <c r="I7" s="1">
        <v>0.98133926313922704</v>
      </c>
      <c r="J7" s="1">
        <v>0.99942495687176502</v>
      </c>
      <c r="K7" s="1">
        <v>0.98773563218390803</v>
      </c>
      <c r="L7" s="1">
        <v>0.96508166969147002</v>
      </c>
      <c r="M7" s="1">
        <v>1</v>
      </c>
      <c r="N7" s="1">
        <v>0.98969072164948502</v>
      </c>
      <c r="O7" s="1">
        <v>0.96666666666666701</v>
      </c>
      <c r="P7" s="1">
        <v>1</v>
      </c>
      <c r="Q7" s="1">
        <v>0.99844283422856395</v>
      </c>
      <c r="R7" s="1">
        <v>0.99498397822170903</v>
      </c>
      <c r="S7" s="1">
        <v>1</v>
      </c>
      <c r="T7" s="1">
        <v>0.92341910722834397</v>
      </c>
      <c r="U7" s="1">
        <v>0.80871958191869797</v>
      </c>
      <c r="V7" s="1">
        <v>1</v>
      </c>
      <c r="W7" s="1">
        <v>0.87</v>
      </c>
      <c r="X7" s="1">
        <v>0.87</v>
      </c>
      <c r="Y7" s="1">
        <v>0.87</v>
      </c>
      <c r="Z7" s="1">
        <v>0.94923767106873602</v>
      </c>
      <c r="AA7" s="1">
        <v>0.87550853330345901</v>
      </c>
      <c r="AB7" s="1">
        <v>0.99560321472222002</v>
      </c>
      <c r="AC7" s="1">
        <v>0.95945062155730498</v>
      </c>
      <c r="AD7" s="1">
        <v>0.89153541788886004</v>
      </c>
      <c r="AE7" s="1">
        <v>0.99923820685613796</v>
      </c>
      <c r="AF7" s="1">
        <v>0.92338946978194403</v>
      </c>
      <c r="AG7" s="1">
        <v>0.80530061059628</v>
      </c>
      <c r="AH7" s="1">
        <v>1</v>
      </c>
      <c r="AI7" s="1">
        <v>200</v>
      </c>
      <c r="AJ7" s="1">
        <v>101</v>
      </c>
      <c r="AK7" s="1">
        <v>99</v>
      </c>
      <c r="AL7" s="1">
        <v>99</v>
      </c>
      <c r="AM7" s="1">
        <v>1</v>
      </c>
      <c r="AN7" s="1">
        <v>1</v>
      </c>
      <c r="AO7" s="1">
        <v>2</v>
      </c>
      <c r="AP7" s="1">
        <v>0</v>
      </c>
      <c r="AQ7" s="1">
        <v>1</v>
      </c>
      <c r="AR7" s="1">
        <v>0</v>
      </c>
      <c r="AS7" s="1">
        <v>96</v>
      </c>
      <c r="AT7" s="1">
        <v>95</v>
      </c>
      <c r="AU7" s="1">
        <v>8</v>
      </c>
      <c r="AV7" s="1">
        <v>0</v>
      </c>
      <c r="AW7" s="1">
        <v>97</v>
      </c>
      <c r="AX7" s="1">
        <v>0.92011982026959604</v>
      </c>
      <c r="AY7" s="1">
        <v>0.86055776892430302</v>
      </c>
      <c r="AZ7" s="1">
        <v>0.96996996996996998</v>
      </c>
      <c r="BA7" s="1">
        <v>328</v>
      </c>
      <c r="BB7" s="1">
        <v>537.63</v>
      </c>
      <c r="BC7" s="1">
        <v>103</v>
      </c>
      <c r="BD7" s="1">
        <v>97</v>
      </c>
      <c r="BE7" s="1">
        <v>0.94709171325979602</v>
      </c>
      <c r="BF7" s="1">
        <v>0.99975422624630605</v>
      </c>
      <c r="BG7" s="1">
        <v>0.94389584589490805</v>
      </c>
      <c r="BH7" s="1">
        <v>0.99973902572997597</v>
      </c>
      <c r="BI7" s="1">
        <v>0.94709171325979602</v>
      </c>
      <c r="BJ7" s="1">
        <v>0.94389584589490805</v>
      </c>
      <c r="BK7" s="1">
        <v>1</v>
      </c>
      <c r="BL7" s="1">
        <v>1</v>
      </c>
      <c r="BM7" s="1">
        <v>3</v>
      </c>
      <c r="BN7" s="4" t="s">
        <v>167</v>
      </c>
      <c r="BO7" s="4" t="s">
        <v>127</v>
      </c>
      <c r="BP7" s="4" t="s">
        <v>206</v>
      </c>
      <c r="BQ7" s="4" t="s">
        <v>83</v>
      </c>
      <c r="BR7" s="4" t="s">
        <v>86</v>
      </c>
      <c r="BS7" s="5">
        <v>0.87</v>
      </c>
      <c r="BT7" s="6" t="s">
        <v>157</v>
      </c>
      <c r="BU7" s="6" t="s">
        <v>211</v>
      </c>
      <c r="BV7" s="7">
        <v>0.92300000000000004</v>
      </c>
      <c r="BW7" s="7">
        <v>0.998</v>
      </c>
      <c r="BX7" s="7">
        <v>0.92300000000000004</v>
      </c>
      <c r="BY7" s="7">
        <v>0.99299999999999999</v>
      </c>
      <c r="BZ7" s="7">
        <v>0.95899999999999996</v>
      </c>
      <c r="CA7" s="7">
        <v>0.94899999999999995</v>
      </c>
      <c r="CB7" s="7">
        <v>0.92</v>
      </c>
    </row>
    <row r="8" spans="1:80" hidden="1" x14ac:dyDescent="0.2">
      <c r="A8" s="1" t="s">
        <v>139</v>
      </c>
      <c r="B8" s="1" t="s">
        <v>126</v>
      </c>
      <c r="C8" s="1" t="s">
        <v>82</v>
      </c>
      <c r="D8" s="1" t="s">
        <v>83</v>
      </c>
      <c r="E8" s="1">
        <v>262</v>
      </c>
      <c r="F8" s="1">
        <v>30000</v>
      </c>
      <c r="G8" s="1">
        <v>8.7333333333333308E-3</v>
      </c>
      <c r="H8" s="1">
        <v>0.36259841578044399</v>
      </c>
      <c r="I8" s="1">
        <v>0.241809218201162</v>
      </c>
      <c r="J8" s="1">
        <v>0.47764217115441898</v>
      </c>
      <c r="K8" s="1">
        <v>0.22891566265060201</v>
      </c>
      <c r="L8" s="1">
        <v>0.141304347826087</v>
      </c>
      <c r="M8" s="1">
        <v>0.32432432432432401</v>
      </c>
      <c r="N8" s="1">
        <v>0.99970287776933497</v>
      </c>
      <c r="O8" s="1">
        <v>0.99949559486179296</v>
      </c>
      <c r="P8" s="1">
        <v>0.99988150482467497</v>
      </c>
      <c r="Q8" s="1">
        <v>0.87159425289157599</v>
      </c>
      <c r="R8" s="1">
        <v>0.77109923407393</v>
      </c>
      <c r="S8" s="1">
        <v>0.94687610215782803</v>
      </c>
      <c r="T8" s="1">
        <v>0.99325038169129498</v>
      </c>
      <c r="U8" s="1">
        <v>0.99248980128638897</v>
      </c>
      <c r="V8" s="1">
        <v>0.99408076367794795</v>
      </c>
      <c r="W8" s="1">
        <v>8.7333333333333308E-3</v>
      </c>
      <c r="X8" s="1">
        <v>8.7333333333333308E-3</v>
      </c>
      <c r="Y8" s="1">
        <v>8.7333333333333308E-3</v>
      </c>
      <c r="Z8" s="1">
        <v>0.44465662937636502</v>
      </c>
      <c r="AA8" s="1">
        <v>0.33551280893155899</v>
      </c>
      <c r="AB8" s="1">
        <v>0.54172380569520795</v>
      </c>
      <c r="AC8" s="1">
        <v>0.92030655689589902</v>
      </c>
      <c r="AD8" s="1">
        <v>0.857188061957325</v>
      </c>
      <c r="AE8" s="1">
        <v>0.96147048843225902</v>
      </c>
      <c r="AF8" s="1">
        <v>0.97478612451468805</v>
      </c>
      <c r="AG8" s="1">
        <v>0.95772560995301603</v>
      </c>
      <c r="AH8" s="1">
        <v>0.98366580650409696</v>
      </c>
      <c r="AI8" s="1">
        <v>300</v>
      </c>
      <c r="AJ8" s="1">
        <v>27</v>
      </c>
      <c r="AK8" s="1">
        <v>273</v>
      </c>
      <c r="AL8" s="1">
        <v>19</v>
      </c>
      <c r="AM8" s="1">
        <v>0</v>
      </c>
      <c r="AN8" s="1">
        <v>64</v>
      </c>
      <c r="AO8" s="1">
        <v>0</v>
      </c>
      <c r="AP8" s="1">
        <v>8</v>
      </c>
      <c r="AQ8" s="1">
        <v>0</v>
      </c>
      <c r="AR8" s="1">
        <v>59</v>
      </c>
      <c r="AS8" s="1">
        <v>150</v>
      </c>
      <c r="AT8" s="1">
        <v>27</v>
      </c>
      <c r="AU8" s="1">
        <v>8</v>
      </c>
      <c r="AV8" s="1">
        <v>3</v>
      </c>
      <c r="AW8" s="1">
        <v>262</v>
      </c>
      <c r="AX8" s="1">
        <v>0.81034482758620696</v>
      </c>
      <c r="AY8" s="1">
        <v>0.685748699975405</v>
      </c>
      <c r="AZ8" s="1">
        <v>0.90943396226415096</v>
      </c>
      <c r="BA8" s="1">
        <v>416.5</v>
      </c>
      <c r="BB8" s="1">
        <v>552.88333333333298</v>
      </c>
      <c r="BC8" s="1">
        <v>83</v>
      </c>
      <c r="BD8" s="1">
        <v>217</v>
      </c>
      <c r="BE8" s="1">
        <v>0.143803601998439</v>
      </c>
      <c r="BF8" s="1">
        <v>0.33416993226894598</v>
      </c>
      <c r="BG8" s="1">
        <v>0.98314423078218804</v>
      </c>
      <c r="BH8" s="1">
        <v>1</v>
      </c>
      <c r="BI8" s="1">
        <v>0.141304347826087</v>
      </c>
      <c r="BJ8" s="1">
        <v>0.98314423078218804</v>
      </c>
      <c r="BK8" s="1">
        <v>0.33416993226894598</v>
      </c>
      <c r="BL8" s="1">
        <v>1</v>
      </c>
      <c r="BM8" s="1">
        <v>4</v>
      </c>
      <c r="BN8" s="1" t="s">
        <v>140</v>
      </c>
      <c r="BO8" s="1" t="s">
        <v>127</v>
      </c>
      <c r="BP8" s="1" t="s">
        <v>82</v>
      </c>
      <c r="BQ8" s="1" t="s">
        <v>83</v>
      </c>
      <c r="BR8" s="1" t="s">
        <v>86</v>
      </c>
      <c r="BS8" s="1">
        <v>8.9999999999999993E-3</v>
      </c>
      <c r="BT8" s="1" t="s">
        <v>245</v>
      </c>
      <c r="BU8" s="1" t="s">
        <v>88</v>
      </c>
      <c r="BV8" s="1">
        <v>0.97499999999999998</v>
      </c>
      <c r="BW8" s="1">
        <v>0.872</v>
      </c>
      <c r="BX8" s="1">
        <v>0.99299999999999999</v>
      </c>
      <c r="BY8" s="1">
        <v>0.36299999999999999</v>
      </c>
      <c r="BZ8" s="1">
        <v>0.92</v>
      </c>
      <c r="CA8" s="1">
        <v>0.44500000000000001</v>
      </c>
      <c r="CB8" s="1">
        <v>0.81</v>
      </c>
    </row>
    <row r="9" spans="1:80" hidden="1" x14ac:dyDescent="0.2">
      <c r="A9" s="1" t="s">
        <v>139</v>
      </c>
      <c r="B9" s="1" t="s">
        <v>126</v>
      </c>
      <c r="C9" s="1" t="s">
        <v>206</v>
      </c>
      <c r="D9" s="1" t="s">
        <v>83</v>
      </c>
      <c r="E9" s="1">
        <v>207</v>
      </c>
      <c r="F9" s="1">
        <v>20000</v>
      </c>
      <c r="G9" s="1">
        <v>1.035E-2</v>
      </c>
      <c r="H9" s="1">
        <v>0.28225878168074597</v>
      </c>
      <c r="I9" s="1">
        <v>0.13697118728771299</v>
      </c>
      <c r="J9" s="1">
        <v>0.42622089238764799</v>
      </c>
      <c r="K9" s="1">
        <v>0.16666666666666699</v>
      </c>
      <c r="L9" s="1">
        <v>7.4074074074074098E-2</v>
      </c>
      <c r="M9" s="1">
        <v>0.27450980392156898</v>
      </c>
      <c r="N9" s="1">
        <v>0.99985062791193202</v>
      </c>
      <c r="O9" s="1">
        <v>0.99961827133049297</v>
      </c>
      <c r="P9" s="1">
        <v>1</v>
      </c>
      <c r="Q9" s="1">
        <v>0.92106790481714895</v>
      </c>
      <c r="R9" s="1">
        <v>0.77181208053688299</v>
      </c>
      <c r="S9" s="1">
        <v>1</v>
      </c>
      <c r="T9" s="1">
        <v>0.99135881656624303</v>
      </c>
      <c r="U9" s="1">
        <v>0.99040863389755596</v>
      </c>
      <c r="V9" s="1">
        <v>0.99246873365853605</v>
      </c>
      <c r="W9" s="1">
        <v>1.035E-2</v>
      </c>
      <c r="X9" s="1">
        <v>1.035E-2</v>
      </c>
      <c r="Y9" s="1">
        <v>1.035E-2</v>
      </c>
      <c r="Z9" s="1">
        <v>0.38978818497484402</v>
      </c>
      <c r="AA9" s="1">
        <v>0.246936939708607</v>
      </c>
      <c r="AB9" s="1">
        <v>0.51102396066098299</v>
      </c>
      <c r="AC9" s="1">
        <v>0.937268593682687</v>
      </c>
      <c r="AD9" s="1">
        <v>0.84147682415787095</v>
      </c>
      <c r="AE9" s="1">
        <v>0.98118725988350497</v>
      </c>
      <c r="AF9" s="1">
        <v>0.95404939488977403</v>
      </c>
      <c r="AG9" s="1">
        <v>0.898229423905477</v>
      </c>
      <c r="AH9" s="1">
        <v>0.97446950875370097</v>
      </c>
      <c r="AI9" s="1">
        <v>200</v>
      </c>
      <c r="AJ9" s="1">
        <v>11</v>
      </c>
      <c r="AK9" s="1">
        <v>189</v>
      </c>
      <c r="AL9" s="1">
        <v>9</v>
      </c>
      <c r="AM9" s="1">
        <v>0</v>
      </c>
      <c r="AN9" s="1">
        <v>45</v>
      </c>
      <c r="AO9" s="1">
        <v>0</v>
      </c>
      <c r="AP9" s="1">
        <v>2</v>
      </c>
      <c r="AQ9" s="1">
        <v>0</v>
      </c>
      <c r="AR9" s="1">
        <v>44</v>
      </c>
      <c r="AS9" s="1">
        <v>100</v>
      </c>
      <c r="AT9" s="1">
        <v>10</v>
      </c>
      <c r="AU9" s="1">
        <v>13</v>
      </c>
      <c r="AV9" s="1">
        <v>5</v>
      </c>
      <c r="AW9" s="1">
        <v>172</v>
      </c>
      <c r="AX9" s="1">
        <v>0.47901591895803203</v>
      </c>
      <c r="AY9" s="1">
        <v>0.25179856115107901</v>
      </c>
      <c r="AZ9" s="1">
        <v>0.67359050445103896</v>
      </c>
      <c r="BA9" s="1">
        <v>363</v>
      </c>
      <c r="BB9" s="1">
        <v>515.20500000000004</v>
      </c>
      <c r="BC9" s="1">
        <v>54</v>
      </c>
      <c r="BD9" s="1">
        <v>146</v>
      </c>
      <c r="BE9" s="1">
        <v>7.9154436170408904E-2</v>
      </c>
      <c r="BF9" s="1">
        <v>0.29294123911438502</v>
      </c>
      <c r="BG9" s="1">
        <v>0.97505022388805196</v>
      </c>
      <c r="BH9" s="1">
        <v>1</v>
      </c>
      <c r="BI9" s="1">
        <v>7.4074074074074098E-2</v>
      </c>
      <c r="BJ9" s="1">
        <v>0.97505022388805196</v>
      </c>
      <c r="BK9" s="1">
        <v>0.29294123911438502</v>
      </c>
      <c r="BL9" s="1">
        <v>1</v>
      </c>
      <c r="BM9" s="1">
        <v>4</v>
      </c>
      <c r="BN9" s="1" t="s">
        <v>140</v>
      </c>
      <c r="BO9" s="1" t="s">
        <v>127</v>
      </c>
      <c r="BP9" s="1" t="s">
        <v>206</v>
      </c>
      <c r="BQ9" s="1" t="s">
        <v>83</v>
      </c>
      <c r="BR9" s="1" t="s">
        <v>86</v>
      </c>
      <c r="BS9" s="1">
        <v>0.01</v>
      </c>
      <c r="BT9" s="1" t="s">
        <v>246</v>
      </c>
      <c r="BU9" s="1" t="s">
        <v>88</v>
      </c>
      <c r="BV9" s="1">
        <v>0.95399999999999996</v>
      </c>
      <c r="BW9" s="1">
        <v>0.92100000000000004</v>
      </c>
      <c r="BX9" s="1">
        <v>0.99099999999999999</v>
      </c>
      <c r="BY9" s="1">
        <v>0.28199999999999997</v>
      </c>
      <c r="BZ9" s="1">
        <v>0.93700000000000006</v>
      </c>
      <c r="CA9" s="1">
        <v>0.39</v>
      </c>
      <c r="CB9" s="1">
        <v>0.47899999999999998</v>
      </c>
    </row>
  </sheetData>
  <conditionalFormatting sqref="BV2:CB7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5842-A1FA-754E-B2D9-F799A6BFC4FD}">
  <dimension ref="A1:CB9"/>
  <sheetViews>
    <sheetView topLeftCell="BN1" workbookViewId="0">
      <selection activeCell="BX35" sqref="BX35"/>
    </sheetView>
  </sheetViews>
  <sheetFormatPr baseColWidth="10" defaultRowHeight="16" x14ac:dyDescent="0.2"/>
  <cols>
    <col min="1" max="3" width="0" style="1" hidden="1" customWidth="1"/>
    <col min="4" max="4" width="24.83203125" style="1" hidden="1" customWidth="1"/>
    <col min="5" max="65" width="0" style="1" hidden="1" customWidth="1"/>
    <col min="66" max="66" width="10.83203125" style="1"/>
    <col min="67" max="67" width="0" style="1" hidden="1" customWidth="1"/>
    <col min="68" max="68" width="8.83203125" style="1" hidden="1" customWidth="1"/>
    <col min="69" max="69" width="25" style="1" hidden="1" customWidth="1"/>
    <col min="70" max="70" width="19.6640625" style="1" customWidth="1"/>
    <col min="71" max="71" width="12" style="1" customWidth="1"/>
    <col min="72" max="73" width="18.83203125" style="1" customWidth="1"/>
    <col min="74" max="74" width="7" style="1" customWidth="1"/>
    <col min="75" max="75" width="12.33203125" style="1" customWidth="1"/>
    <col min="76" max="76" width="10.83203125" style="1"/>
    <col min="77" max="77" width="6.83203125" style="1" customWidth="1"/>
    <col min="78" max="78" width="7" style="1" customWidth="1"/>
    <col min="79" max="79" width="7.1640625" style="1" customWidth="1"/>
    <col min="80" max="80" width="9.6640625" style="1" customWidth="1"/>
    <col min="81" max="16384" width="10.83203125" style="1"/>
  </cols>
  <sheetData>
    <row r="1" spans="1:80" s="77" customFormat="1" ht="53" customHeigh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81</v>
      </c>
      <c r="C2" s="1" t="s">
        <v>82</v>
      </c>
      <c r="D2" s="1" t="s">
        <v>83</v>
      </c>
      <c r="E2" s="1">
        <v>156</v>
      </c>
      <c r="F2" s="1">
        <v>607</v>
      </c>
      <c r="G2" s="1">
        <v>0.25700164744645798</v>
      </c>
      <c r="H2" s="1">
        <v>0.98039215686274495</v>
      </c>
      <c r="I2" s="1">
        <v>0.96341463414634099</v>
      </c>
      <c r="J2" s="1">
        <v>0.99375000000000002</v>
      </c>
      <c r="K2" s="1">
        <v>0.96153846153846201</v>
      </c>
      <c r="L2" s="1">
        <v>0.92941176470588205</v>
      </c>
      <c r="M2" s="1">
        <v>0.98757763975155299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0.98687089715536103</v>
      </c>
      <c r="U2" s="1">
        <v>0.97616561839525395</v>
      </c>
      <c r="V2" s="1">
        <v>0.99572151447417101</v>
      </c>
      <c r="W2" s="1">
        <v>0.25700164744645798</v>
      </c>
      <c r="X2" s="1">
        <v>0.25700164744645798</v>
      </c>
      <c r="Y2" s="1">
        <v>0.25700164744645798</v>
      </c>
      <c r="Z2" s="1">
        <v>0.97412233532952497</v>
      </c>
      <c r="AA2" s="1">
        <v>0.95250186878448795</v>
      </c>
      <c r="AB2" s="1">
        <v>0.99164121692991503</v>
      </c>
      <c r="AC2" s="1">
        <v>0.99312956927684304</v>
      </c>
      <c r="AD2" s="1">
        <v>0.98703493365099604</v>
      </c>
      <c r="AE2" s="1">
        <v>0.99782926320183696</v>
      </c>
      <c r="AF2" s="1">
        <v>0.98635290000874798</v>
      </c>
      <c r="AG2" s="1">
        <v>0.97440175030767096</v>
      </c>
      <c r="AH2" s="1">
        <v>0.99566793018702904</v>
      </c>
      <c r="AI2" s="1">
        <v>307</v>
      </c>
      <c r="AJ2" s="1">
        <v>150</v>
      </c>
      <c r="AK2" s="1">
        <v>157</v>
      </c>
      <c r="AL2" s="1">
        <v>144</v>
      </c>
      <c r="AM2" s="1">
        <v>6</v>
      </c>
      <c r="AN2" s="1">
        <v>5</v>
      </c>
      <c r="AO2" s="1">
        <v>1</v>
      </c>
      <c r="AP2" s="1">
        <v>0</v>
      </c>
      <c r="AQ2" s="1">
        <v>0</v>
      </c>
      <c r="AR2" s="1">
        <v>3</v>
      </c>
      <c r="AS2" s="1">
        <v>148</v>
      </c>
      <c r="AT2" s="1">
        <v>147</v>
      </c>
      <c r="AU2" s="1">
        <v>4</v>
      </c>
      <c r="AV2" s="1">
        <v>13</v>
      </c>
      <c r="AW2" s="1">
        <v>143</v>
      </c>
      <c r="AX2" s="1">
        <v>0.88932714125156398</v>
      </c>
      <c r="AY2" s="1">
        <v>0.83707304646867797</v>
      </c>
      <c r="AZ2" s="1">
        <v>0.93490522030448198</v>
      </c>
      <c r="BA2" s="1">
        <v>966</v>
      </c>
      <c r="BB2" s="1">
        <v>1208.1596091205199</v>
      </c>
      <c r="BC2" s="1">
        <v>156</v>
      </c>
      <c r="BD2" s="1">
        <v>151</v>
      </c>
      <c r="BE2" s="1">
        <v>0.918167683421513</v>
      </c>
      <c r="BF2" s="1">
        <v>0.98575665479000096</v>
      </c>
      <c r="BG2" s="1">
        <v>0.97586632380977401</v>
      </c>
      <c r="BH2" s="1">
        <v>1</v>
      </c>
      <c r="BI2" s="1">
        <v>0.918167683421513</v>
      </c>
      <c r="BJ2" s="1">
        <v>0.97586632380977401</v>
      </c>
      <c r="BK2" s="1">
        <v>0.98757763975155299</v>
      </c>
      <c r="BL2" s="1">
        <v>1</v>
      </c>
      <c r="BM2" s="1">
        <v>1</v>
      </c>
      <c r="BN2" s="4" t="s">
        <v>84</v>
      </c>
      <c r="BO2" s="4" t="s">
        <v>85</v>
      </c>
      <c r="BP2" s="4" t="s">
        <v>82</v>
      </c>
      <c r="BQ2" s="4" t="s">
        <v>83</v>
      </c>
      <c r="BR2" s="4" t="s">
        <v>86</v>
      </c>
      <c r="BS2" s="5">
        <v>0.25700000000000001</v>
      </c>
      <c r="BT2" s="6" t="s">
        <v>87</v>
      </c>
      <c r="BU2" s="6" t="s">
        <v>88</v>
      </c>
      <c r="BV2" s="7">
        <v>0.98599999999999999</v>
      </c>
      <c r="BW2" s="7">
        <v>1</v>
      </c>
      <c r="BX2" s="7">
        <v>0.98699999999999999</v>
      </c>
      <c r="BY2" s="7">
        <v>0.98</v>
      </c>
      <c r="BZ2" s="7">
        <v>0.99299999999999999</v>
      </c>
      <c r="CA2" s="7">
        <v>0.97399999999999998</v>
      </c>
      <c r="CB2" s="7">
        <v>0.88900000000000001</v>
      </c>
    </row>
    <row r="3" spans="1:80" x14ac:dyDescent="0.2">
      <c r="A3" s="1" t="s">
        <v>80</v>
      </c>
      <c r="B3" s="1" t="s">
        <v>81</v>
      </c>
      <c r="C3" s="1" t="s">
        <v>82</v>
      </c>
      <c r="D3" s="1" t="s">
        <v>103</v>
      </c>
      <c r="E3" s="1" t="s">
        <v>93</v>
      </c>
      <c r="F3" s="1" t="s">
        <v>93</v>
      </c>
      <c r="G3" s="1">
        <v>0.292428297031539</v>
      </c>
      <c r="H3" s="1">
        <v>0.89486669753523396</v>
      </c>
      <c r="I3" s="1">
        <v>0.83818917326068298</v>
      </c>
      <c r="J3" s="1">
        <v>0.94848869313352702</v>
      </c>
      <c r="K3" s="1">
        <v>0.82172527722555699</v>
      </c>
      <c r="L3" s="1">
        <v>0.73169275027464997</v>
      </c>
      <c r="M3" s="1">
        <v>0.91406436878604103</v>
      </c>
      <c r="N3" s="1">
        <v>0.99388096972143802</v>
      </c>
      <c r="O3" s="1">
        <v>0.98439187199371803</v>
      </c>
      <c r="P3" s="1">
        <v>1</v>
      </c>
      <c r="Q3" s="1">
        <v>0.98230088495575296</v>
      </c>
      <c r="R3" s="1">
        <v>0.954196722459556</v>
      </c>
      <c r="S3" s="1">
        <v>1</v>
      </c>
      <c r="T3" s="1">
        <v>0.93098447851342003</v>
      </c>
      <c r="U3" s="1">
        <v>0.88593282464048095</v>
      </c>
      <c r="V3" s="1">
        <v>0.96905028205476595</v>
      </c>
      <c r="W3" s="1">
        <v>0.292428297031539</v>
      </c>
      <c r="X3" s="1">
        <v>0.26481348192884502</v>
      </c>
      <c r="Y3" s="1">
        <v>0.32566349400953398</v>
      </c>
      <c r="Z3" s="1">
        <v>0.86306503097432596</v>
      </c>
      <c r="AA3" s="1">
        <v>0.79234738469823196</v>
      </c>
      <c r="AB3" s="1">
        <v>0.93145526478999197</v>
      </c>
      <c r="AC3" s="1">
        <v>0.94962531239959302</v>
      </c>
      <c r="AD3" s="1">
        <v>0.91249732653202498</v>
      </c>
      <c r="AE3" s="1">
        <v>0.97699859646877896</v>
      </c>
      <c r="AF3" s="1">
        <v>0.91905361729590096</v>
      </c>
      <c r="AG3" s="1">
        <v>0.853971501645164</v>
      </c>
      <c r="AH3" s="1">
        <v>0.96699043899732695</v>
      </c>
      <c r="AI3" s="1">
        <v>227</v>
      </c>
      <c r="AJ3" s="1">
        <v>113</v>
      </c>
      <c r="AK3" s="1">
        <v>114</v>
      </c>
      <c r="AL3" s="1">
        <v>108</v>
      </c>
      <c r="AM3" s="1">
        <v>3</v>
      </c>
      <c r="AN3" s="1">
        <v>7</v>
      </c>
      <c r="AO3" s="1">
        <v>6</v>
      </c>
      <c r="AP3" s="1">
        <v>0</v>
      </c>
      <c r="AQ3" s="1">
        <v>2</v>
      </c>
      <c r="AR3" s="1">
        <v>0</v>
      </c>
      <c r="AS3" s="1">
        <v>101</v>
      </c>
      <c r="AT3" s="1">
        <v>111</v>
      </c>
      <c r="AU3" s="1">
        <v>2</v>
      </c>
      <c r="AV3" s="1">
        <v>12</v>
      </c>
      <c r="AW3" s="1">
        <v>102</v>
      </c>
      <c r="AX3" s="1">
        <v>0.87669744703965202</v>
      </c>
      <c r="AY3" s="1">
        <v>0.81394168845868597</v>
      </c>
      <c r="AZ3" s="1">
        <v>0.93799508331057102</v>
      </c>
      <c r="BA3" s="1">
        <v>5140</v>
      </c>
      <c r="BB3" s="1">
        <v>5623.2995594713702</v>
      </c>
      <c r="BC3" s="1">
        <v>124</v>
      </c>
      <c r="BD3" s="1">
        <v>103</v>
      </c>
      <c r="BE3" s="1">
        <v>0.74379886711741094</v>
      </c>
      <c r="BF3" s="1">
        <v>0.88534415606303396</v>
      </c>
      <c r="BG3" s="1">
        <v>0.94709171325979602</v>
      </c>
      <c r="BH3" s="1">
        <v>0.99975422624630605</v>
      </c>
      <c r="BI3" s="1">
        <v>0.73169275027464997</v>
      </c>
      <c r="BJ3" s="1">
        <v>0.94709171325979602</v>
      </c>
      <c r="BK3" s="1">
        <v>0.91406436878604103</v>
      </c>
      <c r="BL3" s="1">
        <v>1</v>
      </c>
      <c r="BM3" s="1">
        <v>1</v>
      </c>
      <c r="BN3" s="4" t="s">
        <v>84</v>
      </c>
      <c r="BO3" s="4" t="s">
        <v>85</v>
      </c>
      <c r="BP3" s="4" t="s">
        <v>82</v>
      </c>
      <c r="BQ3" s="4" t="s">
        <v>103</v>
      </c>
      <c r="BR3" s="4" t="s">
        <v>100</v>
      </c>
      <c r="BS3" s="5">
        <v>0.29199999999999998</v>
      </c>
      <c r="BT3" s="6" t="s">
        <v>104</v>
      </c>
      <c r="BU3" s="6" t="s">
        <v>105</v>
      </c>
      <c r="BV3" s="7">
        <v>0.91900000000000004</v>
      </c>
      <c r="BW3" s="7">
        <v>0.98199999999999998</v>
      </c>
      <c r="BX3" s="7">
        <v>0.93100000000000005</v>
      </c>
      <c r="BY3" s="7">
        <v>0.89500000000000002</v>
      </c>
      <c r="BZ3" s="7">
        <v>0.95</v>
      </c>
      <c r="CA3" s="7">
        <v>0.86299999999999999</v>
      </c>
      <c r="CB3" s="7">
        <v>0.877</v>
      </c>
    </row>
    <row r="4" spans="1:80" x14ac:dyDescent="0.2">
      <c r="A4" s="1" t="s">
        <v>158</v>
      </c>
      <c r="B4" s="1" t="s">
        <v>81</v>
      </c>
      <c r="C4" s="1" t="s">
        <v>82</v>
      </c>
      <c r="D4" s="1" t="s">
        <v>83</v>
      </c>
      <c r="E4" s="1">
        <v>262</v>
      </c>
      <c r="F4" s="1">
        <v>1492</v>
      </c>
      <c r="G4" s="1">
        <v>0.17560321715817701</v>
      </c>
      <c r="H4" s="1">
        <v>0.93704135143424205</v>
      </c>
      <c r="I4" s="1">
        <v>0.88089322722451602</v>
      </c>
      <c r="J4" s="1">
        <v>0.98261141855953604</v>
      </c>
      <c r="K4" s="1">
        <v>0.92137923871838801</v>
      </c>
      <c r="L4" s="1">
        <v>0.84142096878952899</v>
      </c>
      <c r="M4" s="1">
        <v>0.98811341330425295</v>
      </c>
      <c r="N4" s="1">
        <v>0.99037375790424598</v>
      </c>
      <c r="O4" s="1">
        <v>0.97443996022694002</v>
      </c>
      <c r="P4" s="1">
        <v>1</v>
      </c>
      <c r="Q4" s="1">
        <v>0.95324513829466395</v>
      </c>
      <c r="R4" s="1">
        <v>0.88362621949245201</v>
      </c>
      <c r="S4" s="1">
        <v>1</v>
      </c>
      <c r="T4" s="1">
        <v>0.98337154356086098</v>
      </c>
      <c r="U4" s="1">
        <v>0.96710346862249796</v>
      </c>
      <c r="V4" s="1">
        <v>0.99746675110829597</v>
      </c>
      <c r="W4" s="1">
        <v>0.17560321715817701</v>
      </c>
      <c r="X4" s="1">
        <v>0.17560321715817701</v>
      </c>
      <c r="Y4" s="1">
        <v>0.17560321715817701</v>
      </c>
      <c r="Z4" s="1">
        <v>0.92410122084570501</v>
      </c>
      <c r="AA4" s="1">
        <v>0.85744698045280099</v>
      </c>
      <c r="AB4" s="1">
        <v>0.97893394376125797</v>
      </c>
      <c r="AC4" s="1">
        <v>0.96787892923867003</v>
      </c>
      <c r="AD4" s="1">
        <v>0.92903771697578696</v>
      </c>
      <c r="AE4" s="1">
        <v>0.99293996925972705</v>
      </c>
      <c r="AF4" s="1">
        <v>0.98296902797822305</v>
      </c>
      <c r="AG4" s="1">
        <v>0.96296198072690697</v>
      </c>
      <c r="AH4" s="1">
        <v>0.99751237828518802</v>
      </c>
      <c r="AI4" s="1">
        <v>300</v>
      </c>
      <c r="AJ4" s="1">
        <v>150</v>
      </c>
      <c r="AK4" s="1">
        <v>150</v>
      </c>
      <c r="AL4" s="1">
        <v>143</v>
      </c>
      <c r="AM4" s="1">
        <v>4</v>
      </c>
      <c r="AN4" s="1">
        <v>4</v>
      </c>
      <c r="AO4" s="1">
        <v>2</v>
      </c>
      <c r="AP4" s="1">
        <v>2</v>
      </c>
      <c r="AQ4" s="1">
        <v>1</v>
      </c>
      <c r="AR4" s="1">
        <v>1</v>
      </c>
      <c r="AS4" s="1">
        <v>143</v>
      </c>
      <c r="AT4" s="1">
        <v>145</v>
      </c>
      <c r="AU4" s="1">
        <v>3</v>
      </c>
      <c r="AV4" s="1">
        <v>5</v>
      </c>
      <c r="AW4" s="1">
        <v>147</v>
      </c>
      <c r="AX4" s="1">
        <v>0.94666666666666699</v>
      </c>
      <c r="AY4" s="1">
        <v>0.90657947417589702</v>
      </c>
      <c r="AZ4" s="1">
        <v>0.979982206405694</v>
      </c>
      <c r="BA4" s="1">
        <v>879.5</v>
      </c>
      <c r="BB4" s="1">
        <v>1105.92333333333</v>
      </c>
      <c r="BC4" s="1">
        <v>153</v>
      </c>
      <c r="BD4" s="1">
        <v>147</v>
      </c>
      <c r="BE4" s="1">
        <v>0.86700431499918296</v>
      </c>
      <c r="BF4" s="1">
        <v>0.95881722187848495</v>
      </c>
      <c r="BG4" s="1">
        <v>0.96268181843341405</v>
      </c>
      <c r="BH4" s="1">
        <v>0.99982778484444501</v>
      </c>
      <c r="BI4" s="1">
        <v>0.84142096878952899</v>
      </c>
      <c r="BJ4" s="1">
        <v>0.96268181843341405</v>
      </c>
      <c r="BK4" s="1">
        <v>0.98811341330425295</v>
      </c>
      <c r="BL4" s="1">
        <v>1</v>
      </c>
      <c r="BM4" s="1">
        <v>2</v>
      </c>
      <c r="BN4" s="8" t="s">
        <v>159</v>
      </c>
      <c r="BO4" s="8" t="s">
        <v>85</v>
      </c>
      <c r="BP4" s="8" t="s">
        <v>82</v>
      </c>
      <c r="BQ4" s="8" t="s">
        <v>83</v>
      </c>
      <c r="BR4" s="8" t="s">
        <v>86</v>
      </c>
      <c r="BS4" s="7">
        <v>0.17599999999999999</v>
      </c>
      <c r="BT4" s="9" t="s">
        <v>172</v>
      </c>
      <c r="BU4" s="9" t="s">
        <v>165</v>
      </c>
      <c r="BV4" s="7">
        <v>0.98299999999999998</v>
      </c>
      <c r="BW4" s="7">
        <v>0.95299999999999996</v>
      </c>
      <c r="BX4" s="7">
        <v>0.98299999999999998</v>
      </c>
      <c r="BY4" s="7">
        <v>0.93700000000000006</v>
      </c>
      <c r="BZ4" s="7">
        <v>0.96799999999999997</v>
      </c>
      <c r="CA4" s="7">
        <v>0.92400000000000004</v>
      </c>
      <c r="CB4" s="7">
        <v>0.94699999999999995</v>
      </c>
    </row>
    <row r="5" spans="1:80" x14ac:dyDescent="0.2">
      <c r="A5" s="1" t="s">
        <v>158</v>
      </c>
      <c r="B5" s="1" t="s">
        <v>81</v>
      </c>
      <c r="C5" s="1" t="s">
        <v>82</v>
      </c>
      <c r="D5" s="1" t="s">
        <v>103</v>
      </c>
      <c r="E5" s="1" t="s">
        <v>93</v>
      </c>
      <c r="F5" s="1" t="s">
        <v>93</v>
      </c>
      <c r="G5" s="1">
        <v>0.197868305760806</v>
      </c>
      <c r="H5" s="1">
        <v>0.86710332635360099</v>
      </c>
      <c r="I5" s="1">
        <v>0.78617314400466198</v>
      </c>
      <c r="J5" s="1">
        <v>0.94626673159887797</v>
      </c>
      <c r="K5" s="1">
        <v>0.79213410674737095</v>
      </c>
      <c r="L5" s="1">
        <v>0.67376143717153703</v>
      </c>
      <c r="M5" s="1">
        <v>0.92021639389500298</v>
      </c>
      <c r="N5" s="1">
        <v>0.99137931034482796</v>
      </c>
      <c r="O5" s="1">
        <v>0.97196261682243001</v>
      </c>
      <c r="P5" s="1">
        <v>1</v>
      </c>
      <c r="Q5" s="1">
        <v>0.95774644184944102</v>
      </c>
      <c r="R5" s="1">
        <v>0.87168846797432997</v>
      </c>
      <c r="S5" s="1">
        <v>1</v>
      </c>
      <c r="T5" s="1">
        <v>0.95082175210528197</v>
      </c>
      <c r="U5" s="1">
        <v>0.91226461132514103</v>
      </c>
      <c r="V5" s="1">
        <v>0.98373085663564697</v>
      </c>
      <c r="W5" s="1">
        <v>0.197868305760806</v>
      </c>
      <c r="X5" s="1">
        <v>0.16464859306524801</v>
      </c>
      <c r="Y5" s="1">
        <v>0.23453390953301301</v>
      </c>
      <c r="Z5" s="1">
        <v>0.84372707098134103</v>
      </c>
      <c r="AA5" s="1">
        <v>0.75009318911267597</v>
      </c>
      <c r="AB5" s="1">
        <v>0.93655491362121002</v>
      </c>
      <c r="AC5" s="1">
        <v>0.949616227460782</v>
      </c>
      <c r="AD5" s="1">
        <v>0.90024985887361197</v>
      </c>
      <c r="AE5" s="1">
        <v>0.98707568262339596</v>
      </c>
      <c r="AF5" s="1">
        <v>0.94162288434979202</v>
      </c>
      <c r="AG5" s="1">
        <v>0.880838273764327</v>
      </c>
      <c r="AH5" s="1">
        <v>0.98311712481202596</v>
      </c>
      <c r="AI5" s="1">
        <v>237</v>
      </c>
      <c r="AJ5" s="1">
        <v>112</v>
      </c>
      <c r="AK5" s="1">
        <v>125</v>
      </c>
      <c r="AL5" s="1">
        <v>109</v>
      </c>
      <c r="AM5" s="1">
        <v>2</v>
      </c>
      <c r="AN5" s="1">
        <v>5</v>
      </c>
      <c r="AO5" s="1">
        <v>5</v>
      </c>
      <c r="AP5" s="1">
        <v>0</v>
      </c>
      <c r="AQ5" s="1">
        <v>1</v>
      </c>
      <c r="AR5" s="1">
        <v>0</v>
      </c>
      <c r="AS5" s="1">
        <v>115</v>
      </c>
      <c r="AT5" s="1">
        <v>107</v>
      </c>
      <c r="AU5" s="1">
        <v>3</v>
      </c>
      <c r="AV5" s="1">
        <v>4</v>
      </c>
      <c r="AW5" s="1">
        <v>123</v>
      </c>
      <c r="AX5" s="1">
        <v>0.94065886897735795</v>
      </c>
      <c r="AY5" s="1">
        <v>0.89539162604768197</v>
      </c>
      <c r="AZ5" s="1">
        <v>0.98282860666965</v>
      </c>
      <c r="BA5" s="1">
        <v>4895</v>
      </c>
      <c r="BB5" s="1">
        <v>5199.8270042194099</v>
      </c>
      <c r="BC5" s="1">
        <v>121</v>
      </c>
      <c r="BD5" s="1">
        <v>116</v>
      </c>
      <c r="BE5" s="1">
        <v>0.710291573218368</v>
      </c>
      <c r="BF5" s="1">
        <v>0.86160463223884698</v>
      </c>
      <c r="BG5" s="1">
        <v>0.95290446377335303</v>
      </c>
      <c r="BH5" s="1">
        <v>0.999781766850937</v>
      </c>
      <c r="BI5" s="1">
        <v>0.67376143717153703</v>
      </c>
      <c r="BJ5" s="1">
        <v>0.95290446377335303</v>
      </c>
      <c r="BK5" s="1">
        <v>0.92021639389500298</v>
      </c>
      <c r="BL5" s="1">
        <v>1</v>
      </c>
      <c r="BM5" s="1">
        <v>2</v>
      </c>
      <c r="BN5" s="8" t="s">
        <v>159</v>
      </c>
      <c r="BO5" s="8" t="s">
        <v>85</v>
      </c>
      <c r="BP5" s="8" t="s">
        <v>82</v>
      </c>
      <c r="BQ5" s="8" t="s">
        <v>103</v>
      </c>
      <c r="BR5" s="8" t="s">
        <v>100</v>
      </c>
      <c r="BS5" s="7">
        <v>0.19800000000000001</v>
      </c>
      <c r="BT5" s="9" t="s">
        <v>179</v>
      </c>
      <c r="BU5" s="9" t="s">
        <v>180</v>
      </c>
      <c r="BV5" s="7">
        <v>0.94199999999999995</v>
      </c>
      <c r="BW5" s="7">
        <v>0.95799999999999996</v>
      </c>
      <c r="BX5" s="7">
        <v>0.95099999999999996</v>
      </c>
      <c r="BY5" s="7">
        <v>0.86699999999999999</v>
      </c>
      <c r="BZ5" s="7">
        <v>0.95</v>
      </c>
      <c r="CA5" s="7">
        <v>0.84399999999999997</v>
      </c>
      <c r="CB5" s="7">
        <v>0.94099999999999995</v>
      </c>
    </row>
    <row r="6" spans="1:80" x14ac:dyDescent="0.2">
      <c r="A6" s="1" t="s">
        <v>166</v>
      </c>
      <c r="B6" s="1" t="s">
        <v>81</v>
      </c>
      <c r="C6" s="1" t="s">
        <v>82</v>
      </c>
      <c r="D6" s="1" t="s">
        <v>83</v>
      </c>
      <c r="E6" s="1">
        <v>252</v>
      </c>
      <c r="F6" s="1">
        <v>963</v>
      </c>
      <c r="G6" s="1">
        <v>0.26168224299065401</v>
      </c>
      <c r="H6" s="1">
        <v>0.96862637996600798</v>
      </c>
      <c r="I6" s="1">
        <v>0.93977187676490603</v>
      </c>
      <c r="J6" s="1">
        <v>0.99654035739222402</v>
      </c>
      <c r="K6" s="1">
        <v>0.95701502077341005</v>
      </c>
      <c r="L6" s="1">
        <v>0.91860857818304598</v>
      </c>
      <c r="M6" s="1">
        <v>0.99389499389499403</v>
      </c>
      <c r="N6" s="1">
        <v>0.993262249591363</v>
      </c>
      <c r="O6" s="1">
        <v>0.97826086956521696</v>
      </c>
      <c r="P6" s="1">
        <v>1</v>
      </c>
      <c r="Q6" s="1">
        <v>0.98052295840997705</v>
      </c>
      <c r="R6" s="1">
        <v>0.93956526002757701</v>
      </c>
      <c r="S6" s="1">
        <v>1</v>
      </c>
      <c r="T6" s="1">
        <v>0.98489318661036696</v>
      </c>
      <c r="U6" s="1">
        <v>0.971715491116525</v>
      </c>
      <c r="V6" s="1">
        <v>0.99782697270134502</v>
      </c>
      <c r="W6" s="1">
        <v>0.26168224299065401</v>
      </c>
      <c r="X6" s="1">
        <v>0.26168224299065401</v>
      </c>
      <c r="Y6" s="1">
        <v>0.26168224299065401</v>
      </c>
      <c r="Z6" s="1">
        <v>0.95781679827408295</v>
      </c>
      <c r="AA6" s="1">
        <v>0.91887588665171904</v>
      </c>
      <c r="AB6" s="1">
        <v>0.99533079434528704</v>
      </c>
      <c r="AC6" s="1">
        <v>0.98257243263725702</v>
      </c>
      <c r="AD6" s="1">
        <v>0.95942096608124805</v>
      </c>
      <c r="AE6" s="1">
        <v>0.99877105277378098</v>
      </c>
      <c r="AF6" s="1">
        <v>0.98463049236976796</v>
      </c>
      <c r="AG6" s="1">
        <v>0.97000888238674998</v>
      </c>
      <c r="AH6" s="1">
        <v>0.997856555701226</v>
      </c>
      <c r="AI6" s="1">
        <v>300</v>
      </c>
      <c r="AJ6" s="1">
        <v>148</v>
      </c>
      <c r="AK6" s="1">
        <v>152</v>
      </c>
      <c r="AL6" s="1">
        <v>146</v>
      </c>
      <c r="AM6" s="1">
        <v>1</v>
      </c>
      <c r="AN6" s="1">
        <v>3</v>
      </c>
      <c r="AO6" s="1">
        <v>1</v>
      </c>
      <c r="AP6" s="1">
        <v>0</v>
      </c>
      <c r="AQ6" s="1">
        <v>1</v>
      </c>
      <c r="AR6" s="1">
        <v>1</v>
      </c>
      <c r="AS6" s="1">
        <v>147</v>
      </c>
      <c r="AT6" s="1">
        <v>139</v>
      </c>
      <c r="AU6" s="1">
        <v>12</v>
      </c>
      <c r="AV6" s="1">
        <v>0</v>
      </c>
      <c r="AW6" s="1">
        <v>149</v>
      </c>
      <c r="AX6" s="1">
        <v>0.92003909199946698</v>
      </c>
      <c r="AY6" s="1">
        <v>0.87367021276595702</v>
      </c>
      <c r="AZ6" s="1">
        <v>0.96001421716723001</v>
      </c>
      <c r="BA6" s="1">
        <v>744.5</v>
      </c>
      <c r="BB6" s="1">
        <v>912.58</v>
      </c>
      <c r="BC6" s="1">
        <v>151</v>
      </c>
      <c r="BD6" s="1">
        <v>149</v>
      </c>
      <c r="BE6" s="1">
        <v>0.91552197973993099</v>
      </c>
      <c r="BF6" s="1">
        <v>0.98528054613521299</v>
      </c>
      <c r="BG6" s="1">
        <v>0.96317506562911603</v>
      </c>
      <c r="BH6" s="1">
        <v>0.99983009626088404</v>
      </c>
      <c r="BI6" s="1">
        <v>0.91552197973993099</v>
      </c>
      <c r="BJ6" s="1">
        <v>0.96317506562911603</v>
      </c>
      <c r="BK6" s="1">
        <v>0.99389499389499403</v>
      </c>
      <c r="BL6" s="1">
        <v>1</v>
      </c>
      <c r="BM6" s="1">
        <v>3</v>
      </c>
      <c r="BN6" s="4" t="s">
        <v>167</v>
      </c>
      <c r="BO6" s="4" t="s">
        <v>85</v>
      </c>
      <c r="BP6" s="4" t="s">
        <v>82</v>
      </c>
      <c r="BQ6" s="4" t="s">
        <v>83</v>
      </c>
      <c r="BR6" s="4" t="s">
        <v>86</v>
      </c>
      <c r="BS6" s="5">
        <v>0.26200000000000001</v>
      </c>
      <c r="BT6" s="6" t="s">
        <v>189</v>
      </c>
      <c r="BU6" s="6" t="s">
        <v>138</v>
      </c>
      <c r="BV6" s="7">
        <v>0.98499999999999999</v>
      </c>
      <c r="BW6" s="7">
        <v>0.98099999999999998</v>
      </c>
      <c r="BX6" s="7">
        <v>0.98499999999999999</v>
      </c>
      <c r="BY6" s="7">
        <v>0.96899999999999997</v>
      </c>
      <c r="BZ6" s="7">
        <v>0.98299999999999998</v>
      </c>
      <c r="CA6" s="7">
        <v>0.95799999999999996</v>
      </c>
      <c r="CB6" s="7">
        <v>0.92</v>
      </c>
    </row>
    <row r="7" spans="1:80" x14ac:dyDescent="0.2">
      <c r="A7" s="1" t="s">
        <v>166</v>
      </c>
      <c r="B7" s="1" t="s">
        <v>81</v>
      </c>
      <c r="C7" s="1" t="s">
        <v>82</v>
      </c>
      <c r="D7" s="1" t="s">
        <v>103</v>
      </c>
      <c r="E7" s="1" t="s">
        <v>93</v>
      </c>
      <c r="F7" s="1" t="s">
        <v>93</v>
      </c>
      <c r="G7" s="1">
        <v>0.25535600231393901</v>
      </c>
      <c r="H7" s="1">
        <v>0.97147977466164803</v>
      </c>
      <c r="I7" s="1">
        <v>0.93494343269852698</v>
      </c>
      <c r="J7" s="1">
        <v>1</v>
      </c>
      <c r="K7" s="1">
        <v>0.96742875110507598</v>
      </c>
      <c r="L7" s="1">
        <v>0.91408527569081799</v>
      </c>
      <c r="M7" s="1">
        <v>1</v>
      </c>
      <c r="N7" s="1">
        <v>0.99169049957992494</v>
      </c>
      <c r="O7" s="1">
        <v>0.97321428571428603</v>
      </c>
      <c r="P7" s="1">
        <v>1</v>
      </c>
      <c r="Q7" s="1">
        <v>0.97556486749631699</v>
      </c>
      <c r="R7" s="1">
        <v>0.92507305701218101</v>
      </c>
      <c r="S7" s="1">
        <v>1</v>
      </c>
      <c r="T7" s="1">
        <v>0.988862402955067</v>
      </c>
      <c r="U7" s="1">
        <v>0.96922998246639402</v>
      </c>
      <c r="V7" s="1">
        <v>1</v>
      </c>
      <c r="W7" s="1">
        <v>0.25535600231393901</v>
      </c>
      <c r="X7" s="1">
        <v>0.245408229491173</v>
      </c>
      <c r="Y7" s="1">
        <v>0.27017286665445001</v>
      </c>
      <c r="Z7" s="1">
        <v>0.96176959869581602</v>
      </c>
      <c r="AA7" s="1">
        <v>0.91258009931726702</v>
      </c>
      <c r="AB7" s="1">
        <v>1</v>
      </c>
      <c r="AC7" s="1">
        <v>0.98216846205888098</v>
      </c>
      <c r="AD7" s="1">
        <v>0.95349817282857996</v>
      </c>
      <c r="AE7" s="1">
        <v>1</v>
      </c>
      <c r="AF7" s="1">
        <v>0.98886206529849896</v>
      </c>
      <c r="AG7" s="1">
        <v>0.96739321697441605</v>
      </c>
      <c r="AH7" s="1">
        <v>1</v>
      </c>
      <c r="AI7" s="1">
        <v>239</v>
      </c>
      <c r="AJ7" s="1">
        <v>117</v>
      </c>
      <c r="AK7" s="1">
        <v>122</v>
      </c>
      <c r="AL7" s="1">
        <v>116</v>
      </c>
      <c r="AM7" s="1">
        <v>0</v>
      </c>
      <c r="AN7" s="1">
        <v>1</v>
      </c>
      <c r="AO7" s="1">
        <v>1</v>
      </c>
      <c r="AP7" s="1">
        <v>0</v>
      </c>
      <c r="AQ7" s="1">
        <v>1</v>
      </c>
      <c r="AR7" s="1">
        <v>1</v>
      </c>
      <c r="AS7" s="1">
        <v>119</v>
      </c>
      <c r="AT7" s="1">
        <v>114</v>
      </c>
      <c r="AU7" s="1">
        <v>4</v>
      </c>
      <c r="AV7" s="1">
        <v>0</v>
      </c>
      <c r="AW7" s="1">
        <v>121</v>
      </c>
      <c r="AX7" s="1">
        <v>0.96650784753363195</v>
      </c>
      <c r="AY7" s="1">
        <v>0.93260961511349205</v>
      </c>
      <c r="AZ7" s="1">
        <v>0.991631359641444</v>
      </c>
      <c r="BA7" s="1">
        <v>4577</v>
      </c>
      <c r="BB7" s="1">
        <v>4849.5690376569</v>
      </c>
      <c r="BC7" s="1">
        <v>118</v>
      </c>
      <c r="BD7" s="1">
        <v>121</v>
      </c>
      <c r="BE7" s="1">
        <v>0.91547948470470997</v>
      </c>
      <c r="BF7" s="1">
        <v>0.99068803505040903</v>
      </c>
      <c r="BG7" s="1">
        <v>0.95481388547921697</v>
      </c>
      <c r="BH7" s="1">
        <v>0.99979078380624598</v>
      </c>
      <c r="BI7" s="1">
        <v>0.91408527569081799</v>
      </c>
      <c r="BJ7" s="1">
        <v>0.95481388547921697</v>
      </c>
      <c r="BK7" s="1">
        <v>1</v>
      </c>
      <c r="BL7" s="1">
        <v>1</v>
      </c>
      <c r="BM7" s="1">
        <v>3</v>
      </c>
      <c r="BN7" s="4" t="s">
        <v>167</v>
      </c>
      <c r="BO7" s="4" t="s">
        <v>85</v>
      </c>
      <c r="BP7" s="4" t="s">
        <v>82</v>
      </c>
      <c r="BQ7" s="4" t="s">
        <v>103</v>
      </c>
      <c r="BR7" s="4" t="s">
        <v>100</v>
      </c>
      <c r="BS7" s="5">
        <v>0.255</v>
      </c>
      <c r="BT7" s="6" t="s">
        <v>195</v>
      </c>
      <c r="BU7" s="6" t="s">
        <v>196</v>
      </c>
      <c r="BV7" s="7">
        <v>0.98899999999999999</v>
      </c>
      <c r="BW7" s="7">
        <v>0.97599999999999998</v>
      </c>
      <c r="BX7" s="7">
        <v>0.98899999999999999</v>
      </c>
      <c r="BY7" s="7">
        <v>0.97099999999999997</v>
      </c>
      <c r="BZ7" s="7">
        <v>0.98199999999999998</v>
      </c>
      <c r="CA7" s="7">
        <v>0.96199999999999997</v>
      </c>
      <c r="CB7" s="7">
        <v>0.96699999999999997</v>
      </c>
    </row>
    <row r="8" spans="1:80" x14ac:dyDescent="0.2">
      <c r="A8" s="1" t="s">
        <v>139</v>
      </c>
      <c r="B8" s="1" t="s">
        <v>81</v>
      </c>
      <c r="C8" s="1" t="s">
        <v>82</v>
      </c>
      <c r="D8" s="1" t="s">
        <v>83</v>
      </c>
      <c r="E8" s="1">
        <v>428</v>
      </c>
      <c r="F8" s="1">
        <v>14379</v>
      </c>
      <c r="G8" s="1">
        <v>2.9765630433270698E-2</v>
      </c>
      <c r="H8" s="1">
        <v>0.85174936802498502</v>
      </c>
      <c r="I8" s="1">
        <v>0.71748703207128794</v>
      </c>
      <c r="J8" s="1">
        <v>0.96078310697485503</v>
      </c>
      <c r="K8" s="1">
        <v>0.75168361737218303</v>
      </c>
      <c r="L8" s="1">
        <v>0.56805527937959799</v>
      </c>
      <c r="M8" s="1">
        <v>0.93435716706787997</v>
      </c>
      <c r="N8" s="1">
        <v>0.99959040314570402</v>
      </c>
      <c r="O8" s="1">
        <v>0.99895738982542803</v>
      </c>
      <c r="P8" s="1">
        <v>1</v>
      </c>
      <c r="Q8" s="1">
        <v>0.98254832893833799</v>
      </c>
      <c r="R8" s="1">
        <v>0.95554110595438102</v>
      </c>
      <c r="S8" s="1">
        <v>1</v>
      </c>
      <c r="T8" s="1">
        <v>0.99243647160929604</v>
      </c>
      <c r="U8" s="1">
        <v>0.98691728055144401</v>
      </c>
      <c r="V8" s="1">
        <v>0.99798941993606605</v>
      </c>
      <c r="W8" s="1">
        <v>2.9765630433270698E-2</v>
      </c>
      <c r="X8" s="1">
        <v>2.9765630433270698E-2</v>
      </c>
      <c r="Y8" s="1">
        <v>2.9765630433270698E-2</v>
      </c>
      <c r="Z8" s="1">
        <v>0.85585089300137496</v>
      </c>
      <c r="AA8" s="1">
        <v>0.73818421962602498</v>
      </c>
      <c r="AB8" s="1">
        <v>0.95997152427969201</v>
      </c>
      <c r="AC8" s="1">
        <v>0.98632975369425602</v>
      </c>
      <c r="AD8" s="1">
        <v>0.96901830777287001</v>
      </c>
      <c r="AE8" s="1">
        <v>0.99832610484791895</v>
      </c>
      <c r="AF8" s="1">
        <v>0.99014039720108105</v>
      </c>
      <c r="AG8" s="1">
        <v>0.97770559535597601</v>
      </c>
      <c r="AH8" s="1">
        <v>0.99788822923731202</v>
      </c>
      <c r="AI8" s="1">
        <v>300</v>
      </c>
      <c r="AJ8" s="1">
        <v>121</v>
      </c>
      <c r="AK8" s="1">
        <v>179</v>
      </c>
      <c r="AL8" s="1">
        <v>118</v>
      </c>
      <c r="AM8" s="1">
        <v>1</v>
      </c>
      <c r="AN8" s="1">
        <v>18</v>
      </c>
      <c r="AO8" s="1">
        <v>1</v>
      </c>
      <c r="AP8" s="1">
        <v>2</v>
      </c>
      <c r="AQ8" s="1">
        <v>0</v>
      </c>
      <c r="AR8" s="1">
        <v>12</v>
      </c>
      <c r="AS8" s="1">
        <v>148</v>
      </c>
      <c r="AT8" s="1">
        <v>117</v>
      </c>
      <c r="AU8" s="1">
        <v>3</v>
      </c>
      <c r="AV8" s="1">
        <v>7</v>
      </c>
      <c r="AW8" s="1">
        <v>173</v>
      </c>
      <c r="AX8" s="1">
        <v>0.93093922651933703</v>
      </c>
      <c r="AY8" s="1">
        <v>0.88567018697095201</v>
      </c>
      <c r="AZ8" s="1">
        <v>0.97161338119446405</v>
      </c>
      <c r="BA8" s="1">
        <v>864.5</v>
      </c>
      <c r="BB8" s="1">
        <v>999.15</v>
      </c>
      <c r="BC8" s="1">
        <v>138</v>
      </c>
      <c r="BD8" s="1">
        <v>162</v>
      </c>
      <c r="BE8" s="1">
        <v>0.67309046843456999</v>
      </c>
      <c r="BF8" s="1">
        <v>0.82294830561827004</v>
      </c>
      <c r="BG8" s="1">
        <v>0.97748643854719497</v>
      </c>
      <c r="BH8" s="1">
        <v>1</v>
      </c>
      <c r="BI8" s="1">
        <v>0.56805527937959799</v>
      </c>
      <c r="BJ8" s="1">
        <v>0.97748643854719497</v>
      </c>
      <c r="BK8" s="1">
        <v>0.93435716706787997</v>
      </c>
      <c r="BL8" s="1">
        <v>1</v>
      </c>
      <c r="BM8" s="1">
        <v>4</v>
      </c>
      <c r="BN8" s="8" t="s">
        <v>140</v>
      </c>
      <c r="BO8" s="8" t="s">
        <v>85</v>
      </c>
      <c r="BP8" s="8" t="s">
        <v>82</v>
      </c>
      <c r="BQ8" s="8" t="s">
        <v>83</v>
      </c>
      <c r="BR8" s="8" t="s">
        <v>86</v>
      </c>
      <c r="BS8" s="7">
        <v>0.03</v>
      </c>
      <c r="BT8" s="9" t="s">
        <v>141</v>
      </c>
      <c r="BU8" s="9" t="s">
        <v>88</v>
      </c>
      <c r="BV8" s="7">
        <v>0.99</v>
      </c>
      <c r="BW8" s="7">
        <v>0.98299999999999998</v>
      </c>
      <c r="BX8" s="7">
        <v>0.99199999999999999</v>
      </c>
      <c r="BY8" s="7">
        <v>0.85199999999999998</v>
      </c>
      <c r="BZ8" s="7">
        <v>0.98599999999999999</v>
      </c>
      <c r="CA8" s="7">
        <v>0.85599999999999998</v>
      </c>
      <c r="CB8" s="7">
        <v>0.93100000000000005</v>
      </c>
    </row>
    <row r="9" spans="1:80" x14ac:dyDescent="0.2">
      <c r="A9" s="1" t="s">
        <v>139</v>
      </c>
      <c r="B9" s="1" t="s">
        <v>81</v>
      </c>
      <c r="C9" s="1" t="s">
        <v>82</v>
      </c>
      <c r="D9" s="1" t="s">
        <v>103</v>
      </c>
      <c r="E9" s="1" t="s">
        <v>93</v>
      </c>
      <c r="F9" s="1" t="s">
        <v>93</v>
      </c>
      <c r="G9" s="1">
        <v>2.84135439855418E-2</v>
      </c>
      <c r="H9" s="1">
        <v>0.66477878858116901</v>
      </c>
      <c r="I9" s="1">
        <v>0.46154474149994401</v>
      </c>
      <c r="J9" s="1">
        <v>0.93658536585366003</v>
      </c>
      <c r="K9" s="1">
        <v>0.63614521568541005</v>
      </c>
      <c r="L9" s="1">
        <v>0.39024248505245801</v>
      </c>
      <c r="M9" s="1">
        <v>0.91089108910891103</v>
      </c>
      <c r="N9" s="1">
        <v>0.99187851101442304</v>
      </c>
      <c r="O9" s="1">
        <v>0.97490036580827499</v>
      </c>
      <c r="P9" s="1">
        <v>1</v>
      </c>
      <c r="Q9" s="1">
        <v>0.69611150809084998</v>
      </c>
      <c r="R9" s="1">
        <v>0.41870670161506002</v>
      </c>
      <c r="S9" s="1">
        <v>1</v>
      </c>
      <c r="T9" s="1">
        <v>0.98938599419981599</v>
      </c>
      <c r="U9" s="1">
        <v>0.97181629649175505</v>
      </c>
      <c r="V9" s="1">
        <v>0.99809572095706001</v>
      </c>
      <c r="W9" s="1">
        <v>2.84135439855418E-2</v>
      </c>
      <c r="X9" s="1">
        <v>1.9952043810849501E-2</v>
      </c>
      <c r="Y9" s="1">
        <v>4.5538275970991103E-2</v>
      </c>
      <c r="Z9" s="1">
        <v>0.65613161487007399</v>
      </c>
      <c r="AA9" s="1">
        <v>0.45099202160472002</v>
      </c>
      <c r="AB9" s="1">
        <v>0.9366174070519</v>
      </c>
      <c r="AC9" s="1">
        <v>0.81692830620676804</v>
      </c>
      <c r="AD9" s="1">
        <v>0.58893123639323697</v>
      </c>
      <c r="AE9" s="1">
        <v>0.993835951549362</v>
      </c>
      <c r="AF9" s="1">
        <v>0.98849022140404597</v>
      </c>
      <c r="AG9" s="1">
        <v>0.94044948624337998</v>
      </c>
      <c r="AH9" s="1">
        <v>0.99870049732194599</v>
      </c>
      <c r="AI9" s="1">
        <v>253</v>
      </c>
      <c r="AJ9" s="1">
        <v>99</v>
      </c>
      <c r="AK9" s="1">
        <v>154</v>
      </c>
      <c r="AL9" s="1">
        <v>96</v>
      </c>
      <c r="AM9" s="1">
        <v>0</v>
      </c>
      <c r="AN9" s="1">
        <v>15</v>
      </c>
      <c r="AO9" s="1">
        <v>1</v>
      </c>
      <c r="AP9" s="1">
        <v>2</v>
      </c>
      <c r="AQ9" s="1">
        <v>1</v>
      </c>
      <c r="AR9" s="1">
        <v>10</v>
      </c>
      <c r="AS9" s="1">
        <v>128</v>
      </c>
      <c r="AT9" s="1">
        <v>99</v>
      </c>
      <c r="AU9" s="1">
        <v>2</v>
      </c>
      <c r="AV9" s="1">
        <v>6</v>
      </c>
      <c r="AW9" s="1">
        <v>146</v>
      </c>
      <c r="AX9" s="1">
        <v>0.93451533583538204</v>
      </c>
      <c r="AY9" s="1">
        <v>0.88652435399195095</v>
      </c>
      <c r="AZ9" s="1">
        <v>0.97532108600227596</v>
      </c>
      <c r="BA9" s="1">
        <v>5088</v>
      </c>
      <c r="BB9" s="1">
        <v>5253.1343873517799</v>
      </c>
      <c r="BC9" s="1">
        <v>112</v>
      </c>
      <c r="BD9" s="1">
        <v>141</v>
      </c>
      <c r="BE9" s="1">
        <v>0.53764474926112005</v>
      </c>
      <c r="BF9" s="1">
        <v>0.72294095723976604</v>
      </c>
      <c r="BG9" s="1">
        <v>0.96111948632850797</v>
      </c>
      <c r="BH9" s="1">
        <v>0.99982045719786405</v>
      </c>
      <c r="BI9" s="1">
        <v>0.39024248505245801</v>
      </c>
      <c r="BJ9" s="1">
        <v>0.96111948632850797</v>
      </c>
      <c r="BK9" s="1">
        <v>0.91089108910891103</v>
      </c>
      <c r="BL9" s="1">
        <v>1</v>
      </c>
      <c r="BM9" s="1">
        <v>4</v>
      </c>
      <c r="BN9" s="8" t="s">
        <v>140</v>
      </c>
      <c r="BO9" s="8" t="s">
        <v>85</v>
      </c>
      <c r="BP9" s="8" t="s">
        <v>82</v>
      </c>
      <c r="BQ9" s="8" t="s">
        <v>103</v>
      </c>
      <c r="BR9" s="8" t="s">
        <v>100</v>
      </c>
      <c r="BS9" s="7">
        <v>2.8000000000000001E-2</v>
      </c>
      <c r="BT9" s="9" t="s">
        <v>148</v>
      </c>
      <c r="BU9" s="9" t="s">
        <v>149</v>
      </c>
      <c r="BV9" s="7">
        <v>0.98799999999999999</v>
      </c>
      <c r="BW9" s="7">
        <v>0.69599999999999995</v>
      </c>
      <c r="BX9" s="7">
        <v>0.98899999999999999</v>
      </c>
      <c r="BY9" s="7">
        <v>0.66500000000000004</v>
      </c>
      <c r="BZ9" s="7">
        <v>0.81699999999999995</v>
      </c>
      <c r="CA9" s="7">
        <v>0.65600000000000003</v>
      </c>
      <c r="CB9" s="7">
        <v>0.93500000000000005</v>
      </c>
    </row>
  </sheetData>
  <sortState xmlns:xlrd2="http://schemas.microsoft.com/office/spreadsheetml/2017/richdata2" ref="A2:CB9">
    <sortCondition ref="BM2:BM9"/>
    <sortCondition descending="1" ref="BR2:BR9"/>
  </sortState>
  <conditionalFormatting sqref="BR2:BR9">
    <cfRule type="containsText" dxfId="7" priority="2" operator="containsText" text="Full">
      <formula>NOT(ISERROR(SEARCH("Full",BR2)))</formula>
    </cfRule>
  </conditionalFormatting>
  <conditionalFormatting sqref="BV2:CB9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C0C0-FDA7-894C-808E-6637247D887A}">
  <dimension ref="A1:F28"/>
  <sheetViews>
    <sheetView workbookViewId="0">
      <selection activeCell="BP7" sqref="BP7"/>
    </sheetView>
  </sheetViews>
  <sheetFormatPr baseColWidth="10" defaultRowHeight="16" x14ac:dyDescent="0.2"/>
  <cols>
    <col min="1" max="1" width="36.5" style="10" customWidth="1"/>
    <col min="2" max="2" width="18.83203125" customWidth="1"/>
    <col min="3" max="3" width="9.33203125" customWidth="1"/>
    <col min="4" max="4" width="27.5" customWidth="1"/>
    <col min="5" max="5" width="22.33203125" customWidth="1"/>
    <col min="6" max="6" width="18.6640625" customWidth="1"/>
  </cols>
  <sheetData>
    <row r="1" spans="1:6" ht="35" thickBot="1" x14ac:dyDescent="0.25">
      <c r="A1" s="22" t="s">
        <v>275</v>
      </c>
      <c r="B1" s="22" t="s">
        <v>67</v>
      </c>
      <c r="C1" s="22" t="s">
        <v>66</v>
      </c>
      <c r="D1" s="22" t="s">
        <v>274</v>
      </c>
      <c r="E1" s="21" t="s">
        <v>273</v>
      </c>
      <c r="F1" s="21" t="s">
        <v>272</v>
      </c>
    </row>
    <row r="2" spans="1:6" ht="18" thickTop="1" x14ac:dyDescent="0.2">
      <c r="A2" s="20" t="s">
        <v>271</v>
      </c>
      <c r="B2" s="20" t="s">
        <v>82</v>
      </c>
      <c r="C2" s="20" t="s">
        <v>258</v>
      </c>
      <c r="D2" s="20" t="s">
        <v>262</v>
      </c>
      <c r="E2" s="19" t="s">
        <v>262</v>
      </c>
      <c r="F2" s="19">
        <v>913318</v>
      </c>
    </row>
    <row r="3" spans="1:6" ht="17" x14ac:dyDescent="0.2">
      <c r="A3" s="17" t="s">
        <v>270</v>
      </c>
      <c r="B3" s="17" t="s">
        <v>82</v>
      </c>
      <c r="C3" s="17" t="s">
        <v>85</v>
      </c>
      <c r="D3" s="17" t="s">
        <v>262</v>
      </c>
      <c r="E3" s="18" t="s">
        <v>262</v>
      </c>
      <c r="F3" s="18">
        <v>12682</v>
      </c>
    </row>
    <row r="4" spans="1:6" ht="17" x14ac:dyDescent="0.2">
      <c r="A4" s="17" t="s">
        <v>269</v>
      </c>
      <c r="B4" s="17" t="s">
        <v>82</v>
      </c>
      <c r="C4" s="17" t="s">
        <v>247</v>
      </c>
      <c r="D4" s="17" t="s">
        <v>262</v>
      </c>
      <c r="E4" s="18" t="s">
        <v>262</v>
      </c>
      <c r="F4" s="18">
        <v>887478</v>
      </c>
    </row>
    <row r="5" spans="1:6" ht="17" x14ac:dyDescent="0.2">
      <c r="A5" s="17" t="s">
        <v>268</v>
      </c>
      <c r="B5" s="17" t="s">
        <v>266</v>
      </c>
      <c r="C5" s="17" t="s">
        <v>258</v>
      </c>
      <c r="D5" s="17" t="s">
        <v>260</v>
      </c>
      <c r="E5" s="18">
        <v>2600043</v>
      </c>
      <c r="F5" s="18">
        <v>604311</v>
      </c>
    </row>
    <row r="6" spans="1:6" ht="34" x14ac:dyDescent="0.2">
      <c r="A6" s="17" t="s">
        <v>267</v>
      </c>
      <c r="B6" s="17" t="s">
        <v>266</v>
      </c>
      <c r="C6" s="16" t="s">
        <v>258</v>
      </c>
      <c r="D6" s="16" t="s">
        <v>255</v>
      </c>
      <c r="E6" s="16">
        <v>279964</v>
      </c>
      <c r="F6" s="16">
        <v>170806</v>
      </c>
    </row>
    <row r="7" spans="1:6" ht="34" x14ac:dyDescent="0.2">
      <c r="A7" s="17" t="s">
        <v>257</v>
      </c>
      <c r="B7" s="17" t="s">
        <v>266</v>
      </c>
      <c r="C7" s="16" t="s">
        <v>85</v>
      </c>
      <c r="D7" s="16" t="s">
        <v>255</v>
      </c>
      <c r="E7" s="16">
        <v>21372</v>
      </c>
      <c r="F7" s="16">
        <v>6321</v>
      </c>
    </row>
    <row r="8" spans="1:6" ht="34" x14ac:dyDescent="0.2">
      <c r="A8" s="17" t="s">
        <v>256</v>
      </c>
      <c r="B8" s="17" t="s">
        <v>266</v>
      </c>
      <c r="C8" s="16" t="s">
        <v>247</v>
      </c>
      <c r="D8" s="16" t="s">
        <v>255</v>
      </c>
      <c r="E8" s="16">
        <v>249823</v>
      </c>
      <c r="F8" s="16">
        <v>159675</v>
      </c>
    </row>
    <row r="9" spans="1:6" ht="17" x14ac:dyDescent="0.2">
      <c r="A9" s="17" t="s">
        <v>254</v>
      </c>
      <c r="B9" s="17" t="s">
        <v>266</v>
      </c>
      <c r="C9" s="16" t="s">
        <v>85</v>
      </c>
      <c r="D9" s="16" t="s">
        <v>84</v>
      </c>
      <c r="E9" s="16">
        <v>607</v>
      </c>
      <c r="F9" s="16">
        <v>463</v>
      </c>
    </row>
    <row r="10" spans="1:6" ht="17" x14ac:dyDescent="0.2">
      <c r="A10" s="17" t="s">
        <v>253</v>
      </c>
      <c r="B10" s="17" t="s">
        <v>266</v>
      </c>
      <c r="C10" s="16" t="s">
        <v>85</v>
      </c>
      <c r="D10" s="16" t="s">
        <v>159</v>
      </c>
      <c r="E10" s="16">
        <v>1492</v>
      </c>
      <c r="F10" s="16">
        <v>1024</v>
      </c>
    </row>
    <row r="11" spans="1:6" ht="17" x14ac:dyDescent="0.2">
      <c r="A11" s="17" t="s">
        <v>252</v>
      </c>
      <c r="B11" s="17" t="s">
        <v>266</v>
      </c>
      <c r="C11" s="16" t="s">
        <v>85</v>
      </c>
      <c r="D11" s="16" t="s">
        <v>167</v>
      </c>
      <c r="E11" s="16">
        <v>14379</v>
      </c>
      <c r="F11" s="16">
        <v>5101</v>
      </c>
    </row>
    <row r="12" spans="1:6" ht="17" x14ac:dyDescent="0.2">
      <c r="A12" s="17" t="s">
        <v>251</v>
      </c>
      <c r="B12" s="17" t="s">
        <v>266</v>
      </c>
      <c r="C12" s="16" t="s">
        <v>247</v>
      </c>
      <c r="D12" s="16" t="s">
        <v>84</v>
      </c>
      <c r="E12" s="16">
        <v>12806</v>
      </c>
      <c r="F12" s="16">
        <v>9290</v>
      </c>
    </row>
    <row r="13" spans="1:6" ht="17" x14ac:dyDescent="0.2">
      <c r="A13" s="17" t="s">
        <v>250</v>
      </c>
      <c r="B13" s="17" t="s">
        <v>266</v>
      </c>
      <c r="C13" s="16" t="s">
        <v>247</v>
      </c>
      <c r="D13" s="16" t="s">
        <v>159</v>
      </c>
      <c r="E13" s="16">
        <v>36286</v>
      </c>
      <c r="F13" s="16">
        <v>26524</v>
      </c>
    </row>
    <row r="14" spans="1:6" ht="17" x14ac:dyDescent="0.2">
      <c r="A14" s="17" t="s">
        <v>249</v>
      </c>
      <c r="B14" s="17" t="s">
        <v>266</v>
      </c>
      <c r="C14" s="16" t="s">
        <v>247</v>
      </c>
      <c r="D14" s="16" t="s">
        <v>167</v>
      </c>
      <c r="E14" s="16">
        <v>184711</v>
      </c>
      <c r="F14" s="16">
        <v>121917</v>
      </c>
    </row>
    <row r="15" spans="1:6" ht="18" customHeight="1" x14ac:dyDescent="0.2">
      <c r="A15" s="15"/>
      <c r="B15" s="15"/>
      <c r="C15" s="14"/>
      <c r="D15" s="14"/>
      <c r="E15" s="14"/>
      <c r="F15" s="14"/>
    </row>
    <row r="16" spans="1:6" ht="17" x14ac:dyDescent="0.2">
      <c r="A16" s="12" t="s">
        <v>265</v>
      </c>
      <c r="B16" s="12" t="s">
        <v>206</v>
      </c>
      <c r="C16" s="12" t="s">
        <v>258</v>
      </c>
      <c r="D16" s="12" t="s">
        <v>262</v>
      </c>
      <c r="E16" s="13" t="s">
        <v>262</v>
      </c>
      <c r="F16" s="13">
        <v>15216068</v>
      </c>
    </row>
    <row r="17" spans="1:6" ht="17" x14ac:dyDescent="0.2">
      <c r="A17" s="12" t="s">
        <v>264</v>
      </c>
      <c r="B17" s="12" t="s">
        <v>206</v>
      </c>
      <c r="C17" s="12" t="s">
        <v>85</v>
      </c>
      <c r="D17" s="12" t="s">
        <v>262</v>
      </c>
      <c r="E17" s="13" t="s">
        <v>262</v>
      </c>
      <c r="F17" s="13">
        <v>102447</v>
      </c>
    </row>
    <row r="18" spans="1:6" ht="17" x14ac:dyDescent="0.2">
      <c r="A18" s="12" t="s">
        <v>263</v>
      </c>
      <c r="B18" s="12" t="s">
        <v>206</v>
      </c>
      <c r="C18" s="12" t="s">
        <v>247</v>
      </c>
      <c r="D18" s="12" t="s">
        <v>262</v>
      </c>
      <c r="E18" s="13" t="s">
        <v>262</v>
      </c>
      <c r="F18" s="13">
        <v>15037696</v>
      </c>
    </row>
    <row r="19" spans="1:6" ht="17" x14ac:dyDescent="0.2">
      <c r="A19" s="12" t="s">
        <v>261</v>
      </c>
      <c r="B19" s="11" t="s">
        <v>248</v>
      </c>
      <c r="C19" s="11" t="s">
        <v>258</v>
      </c>
      <c r="D19" s="11" t="s">
        <v>260</v>
      </c>
      <c r="E19" s="11">
        <v>16335204</v>
      </c>
      <c r="F19" s="11">
        <v>4972551</v>
      </c>
    </row>
    <row r="20" spans="1:6" ht="34" x14ac:dyDescent="0.2">
      <c r="A20" s="12" t="s">
        <v>259</v>
      </c>
      <c r="B20" s="11" t="s">
        <v>248</v>
      </c>
      <c r="C20" s="11" t="s">
        <v>258</v>
      </c>
      <c r="D20" s="11" t="s">
        <v>255</v>
      </c>
      <c r="E20" s="11">
        <v>2899321</v>
      </c>
      <c r="F20" s="11">
        <v>1834930</v>
      </c>
    </row>
    <row r="21" spans="1:6" ht="34" x14ac:dyDescent="0.2">
      <c r="A21" s="12" t="s">
        <v>257</v>
      </c>
      <c r="B21" s="11" t="s">
        <v>248</v>
      </c>
      <c r="C21" s="11" t="s">
        <v>85</v>
      </c>
      <c r="D21" s="11" t="s">
        <v>255</v>
      </c>
      <c r="E21" s="11">
        <v>182500</v>
      </c>
      <c r="F21" s="11">
        <v>60011</v>
      </c>
    </row>
    <row r="22" spans="1:6" ht="34" x14ac:dyDescent="0.2">
      <c r="A22" s="12" t="s">
        <v>256</v>
      </c>
      <c r="B22" s="11" t="s">
        <v>248</v>
      </c>
      <c r="C22" s="11" t="s">
        <v>247</v>
      </c>
      <c r="D22" s="11" t="s">
        <v>255</v>
      </c>
      <c r="E22" s="11">
        <v>2649236</v>
      </c>
      <c r="F22" s="11">
        <v>1737946</v>
      </c>
    </row>
    <row r="23" spans="1:6" ht="17" x14ac:dyDescent="0.2">
      <c r="A23" s="12" t="s">
        <v>254</v>
      </c>
      <c r="B23" s="11" t="s">
        <v>248</v>
      </c>
      <c r="C23" s="11" t="s">
        <v>85</v>
      </c>
      <c r="D23" s="11" t="s">
        <v>84</v>
      </c>
      <c r="E23" s="11">
        <v>3825</v>
      </c>
      <c r="F23" s="11">
        <v>2904</v>
      </c>
    </row>
    <row r="24" spans="1:6" ht="17" x14ac:dyDescent="0.2">
      <c r="A24" s="12" t="s">
        <v>253</v>
      </c>
      <c r="B24" s="11" t="s">
        <v>248</v>
      </c>
      <c r="C24" s="11" t="s">
        <v>85</v>
      </c>
      <c r="D24" s="11" t="s">
        <v>159</v>
      </c>
      <c r="E24" s="11">
        <v>7721</v>
      </c>
      <c r="F24" s="11">
        <v>5535</v>
      </c>
    </row>
    <row r="25" spans="1:6" ht="17" x14ac:dyDescent="0.2">
      <c r="A25" s="12" t="s">
        <v>252</v>
      </c>
      <c r="B25" s="11" t="s">
        <v>248</v>
      </c>
      <c r="C25" s="11" t="s">
        <v>85</v>
      </c>
      <c r="D25" s="11" t="s">
        <v>167</v>
      </c>
      <c r="E25" s="11">
        <v>65622</v>
      </c>
      <c r="F25" s="11">
        <v>28179</v>
      </c>
    </row>
    <row r="26" spans="1:6" ht="17" x14ac:dyDescent="0.2">
      <c r="A26" s="12" t="s">
        <v>251</v>
      </c>
      <c r="B26" s="11" t="s">
        <v>248</v>
      </c>
      <c r="C26" s="11" t="s">
        <v>247</v>
      </c>
      <c r="D26" s="11" t="s">
        <v>84</v>
      </c>
      <c r="E26" s="11">
        <v>104708</v>
      </c>
      <c r="F26" s="11">
        <v>78681</v>
      </c>
    </row>
    <row r="27" spans="1:6" ht="17" x14ac:dyDescent="0.2">
      <c r="A27" s="12" t="s">
        <v>250</v>
      </c>
      <c r="B27" s="11" t="s">
        <v>248</v>
      </c>
      <c r="C27" s="11" t="s">
        <v>247</v>
      </c>
      <c r="D27" s="11" t="s">
        <v>159</v>
      </c>
      <c r="E27" s="11">
        <v>224972</v>
      </c>
      <c r="F27" s="11">
        <v>172255</v>
      </c>
    </row>
    <row r="28" spans="1:6" ht="17" x14ac:dyDescent="0.2">
      <c r="A28" s="12" t="s">
        <v>249</v>
      </c>
      <c r="B28" s="11" t="s">
        <v>248</v>
      </c>
      <c r="C28" s="11" t="s">
        <v>247</v>
      </c>
      <c r="D28" s="11" t="s">
        <v>167</v>
      </c>
      <c r="E28" s="11">
        <v>1023245</v>
      </c>
      <c r="F28" s="11">
        <v>721656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16F7-F8A6-774E-BD34-62301E32D122}">
  <dimension ref="A1:L17"/>
  <sheetViews>
    <sheetView workbookViewId="0">
      <selection activeCell="BP7" sqref="BP7"/>
    </sheetView>
  </sheetViews>
  <sheetFormatPr baseColWidth="10" defaultRowHeight="16" x14ac:dyDescent="0.2"/>
  <cols>
    <col min="1" max="1" width="34.6640625" customWidth="1"/>
    <col min="2" max="2" width="13.6640625" customWidth="1"/>
    <col min="3" max="3" width="7.83203125" customWidth="1"/>
    <col min="4" max="4" width="11.5" customWidth="1"/>
    <col min="5" max="5" width="10.5" customWidth="1"/>
    <col min="6" max="6" width="13.83203125" customWidth="1"/>
    <col min="7" max="7" width="20.1640625" customWidth="1"/>
    <col min="8" max="8" width="10.1640625" customWidth="1"/>
    <col min="9" max="9" width="11.33203125" customWidth="1"/>
    <col min="12" max="12" width="10.33203125" customWidth="1"/>
  </cols>
  <sheetData>
    <row r="1" spans="1:12" ht="85" x14ac:dyDescent="0.2">
      <c r="A1" s="2" t="s">
        <v>297</v>
      </c>
      <c r="B1" s="2" t="s">
        <v>66</v>
      </c>
      <c r="C1" s="2" t="s">
        <v>296</v>
      </c>
      <c r="D1" s="2" t="s">
        <v>65</v>
      </c>
      <c r="E1" s="2" t="s">
        <v>295</v>
      </c>
      <c r="F1" s="2" t="s">
        <v>68</v>
      </c>
      <c r="G1" s="2" t="s">
        <v>294</v>
      </c>
      <c r="H1" s="3" t="s">
        <v>293</v>
      </c>
      <c r="I1" s="3" t="s">
        <v>292</v>
      </c>
      <c r="J1" s="3" t="s">
        <v>291</v>
      </c>
      <c r="K1" s="3" t="s">
        <v>290</v>
      </c>
      <c r="L1" s="3" t="s">
        <v>289</v>
      </c>
    </row>
    <row r="2" spans="1:12" x14ac:dyDescent="0.2">
      <c r="A2" s="23" t="s">
        <v>283</v>
      </c>
      <c r="B2" s="23" t="s">
        <v>282</v>
      </c>
      <c r="C2" s="23" t="s">
        <v>82</v>
      </c>
      <c r="D2" s="23" t="s">
        <v>167</v>
      </c>
      <c r="E2" s="23" t="s">
        <v>286</v>
      </c>
      <c r="F2" s="23" t="s">
        <v>284</v>
      </c>
      <c r="G2" s="23" t="s">
        <v>86</v>
      </c>
      <c r="H2" s="9">
        <v>300</v>
      </c>
      <c r="I2" s="24">
        <v>912.58</v>
      </c>
      <c r="J2" s="9">
        <v>13662.1</v>
      </c>
      <c r="K2" s="24">
        <f>J2/H2</f>
        <v>45.540333333333336</v>
      </c>
      <c r="L2" s="7">
        <f>J2/(I2*H2)</f>
        <v>4.9902839568403135E-2</v>
      </c>
    </row>
    <row r="3" spans="1:12" x14ac:dyDescent="0.2">
      <c r="A3" s="23" t="s">
        <v>283</v>
      </c>
      <c r="B3" s="23" t="s">
        <v>282</v>
      </c>
      <c r="C3" s="23" t="s">
        <v>82</v>
      </c>
      <c r="D3" s="23" t="s">
        <v>167</v>
      </c>
      <c r="E3" s="23" t="s">
        <v>286</v>
      </c>
      <c r="F3" s="23" t="s">
        <v>280</v>
      </c>
      <c r="G3" s="23" t="s">
        <v>86</v>
      </c>
      <c r="H3" s="9">
        <v>300</v>
      </c>
      <c r="I3" s="24">
        <v>912.58</v>
      </c>
      <c r="J3" s="9">
        <v>16138.8</v>
      </c>
      <c r="K3" s="24">
        <f>J3/H3</f>
        <v>53.795999999999999</v>
      </c>
      <c r="L3" s="7">
        <f>J3/(I3*H3)</f>
        <v>5.8949352385544281E-2</v>
      </c>
    </row>
    <row r="4" spans="1:12" x14ac:dyDescent="0.2">
      <c r="A4" s="23" t="s">
        <v>283</v>
      </c>
      <c r="B4" s="23" t="s">
        <v>288</v>
      </c>
      <c r="C4" s="23" t="s">
        <v>82</v>
      </c>
      <c r="D4" s="23" t="s">
        <v>167</v>
      </c>
      <c r="E4" s="23" t="s">
        <v>286</v>
      </c>
      <c r="F4" s="23" t="s">
        <v>284</v>
      </c>
      <c r="G4" s="23" t="s">
        <v>86</v>
      </c>
      <c r="H4" s="9">
        <v>1636</v>
      </c>
      <c r="I4" s="24">
        <v>587.79</v>
      </c>
      <c r="J4" s="9">
        <v>47093</v>
      </c>
      <c r="K4" s="24">
        <f>J4/H4</f>
        <v>28.785452322738386</v>
      </c>
      <c r="L4" s="7">
        <f>J4/(I4*H4)</f>
        <v>4.8972341010800433E-2</v>
      </c>
    </row>
    <row r="5" spans="1:12" x14ac:dyDescent="0.2">
      <c r="A5" s="23" t="s">
        <v>283</v>
      </c>
      <c r="B5" s="23" t="s">
        <v>288</v>
      </c>
      <c r="C5" s="23" t="s">
        <v>82</v>
      </c>
      <c r="D5" s="23" t="s">
        <v>167</v>
      </c>
      <c r="E5" s="23" t="s">
        <v>286</v>
      </c>
      <c r="F5" s="23" t="s">
        <v>280</v>
      </c>
      <c r="G5" s="23" t="s">
        <v>86</v>
      </c>
      <c r="H5" s="9">
        <v>300</v>
      </c>
      <c r="I5" s="24">
        <v>587.79</v>
      </c>
      <c r="J5" s="9">
        <v>12251.3</v>
      </c>
      <c r="K5" s="24">
        <f>J5/H5</f>
        <v>40.837666666666664</v>
      </c>
      <c r="L5" s="7">
        <f>J5/(I5*H5)</f>
        <v>6.9476627140078365E-2</v>
      </c>
    </row>
    <row r="6" spans="1:12" x14ac:dyDescent="0.2">
      <c r="A6" s="23"/>
      <c r="B6" s="23"/>
      <c r="C6" s="23"/>
      <c r="D6" s="23"/>
      <c r="E6" s="23"/>
      <c r="F6" s="23"/>
      <c r="G6" s="23"/>
      <c r="H6" s="9"/>
      <c r="I6" s="24"/>
      <c r="J6" s="9"/>
      <c r="K6" s="24"/>
      <c r="L6" s="7"/>
    </row>
    <row r="7" spans="1:12" x14ac:dyDescent="0.2">
      <c r="A7" s="23" t="s">
        <v>283</v>
      </c>
      <c r="B7" s="23" t="s">
        <v>282</v>
      </c>
      <c r="C7" s="23" t="s">
        <v>82</v>
      </c>
      <c r="D7" s="23" t="s">
        <v>167</v>
      </c>
      <c r="E7" s="23" t="s">
        <v>286</v>
      </c>
      <c r="F7" s="23" t="s">
        <v>284</v>
      </c>
      <c r="G7" s="23" t="s">
        <v>100</v>
      </c>
      <c r="H7" s="9">
        <v>253</v>
      </c>
      <c r="I7" s="24">
        <v>4849.5690376569</v>
      </c>
      <c r="J7" s="9">
        <v>59059.1</v>
      </c>
      <c r="K7" s="24">
        <f>J7/H7</f>
        <v>233.43517786561264</v>
      </c>
      <c r="L7" s="7">
        <f>J7/(I7*H7)</f>
        <v>4.8135241720035055E-2</v>
      </c>
    </row>
    <row r="8" spans="1:12" x14ac:dyDescent="0.2">
      <c r="A8" s="23" t="s">
        <v>283</v>
      </c>
      <c r="B8" s="23" t="s">
        <v>282</v>
      </c>
      <c r="C8" s="23" t="s">
        <v>82</v>
      </c>
      <c r="D8" s="23" t="s">
        <v>167</v>
      </c>
      <c r="E8" s="23" t="s">
        <v>286</v>
      </c>
      <c r="F8" s="23" t="s">
        <v>280</v>
      </c>
      <c r="G8" s="23" t="s">
        <v>100</v>
      </c>
      <c r="H8" s="9">
        <v>253</v>
      </c>
      <c r="I8" s="24">
        <v>4849.5690376569</v>
      </c>
      <c r="J8" s="9">
        <v>78011.3</v>
      </c>
      <c r="K8" s="24">
        <f>J8/H8</f>
        <v>308.34505928853758</v>
      </c>
      <c r="L8" s="7">
        <f>J8/(I8*H8)</f>
        <v>6.3581950662881262E-2</v>
      </c>
    </row>
    <row r="9" spans="1:12" x14ac:dyDescent="0.2">
      <c r="A9" s="23"/>
      <c r="B9" s="23"/>
      <c r="C9" s="23"/>
      <c r="D9" s="23"/>
      <c r="E9" s="23"/>
      <c r="F9" s="23"/>
      <c r="G9" s="23"/>
      <c r="H9" s="9"/>
      <c r="I9" s="24"/>
      <c r="J9" s="9"/>
      <c r="K9" s="24"/>
      <c r="L9" s="7"/>
    </row>
    <row r="10" spans="1:12" x14ac:dyDescent="0.2">
      <c r="A10" s="23" t="s">
        <v>283</v>
      </c>
      <c r="B10" s="23" t="s">
        <v>282</v>
      </c>
      <c r="C10" s="23" t="s">
        <v>82</v>
      </c>
      <c r="D10" s="23" t="s">
        <v>167</v>
      </c>
      <c r="E10" s="23" t="s">
        <v>286</v>
      </c>
      <c r="F10" s="23" t="s">
        <v>287</v>
      </c>
      <c r="G10" s="23" t="s">
        <v>86</v>
      </c>
      <c r="H10" s="9">
        <v>300</v>
      </c>
      <c r="I10" s="24">
        <v>912.58</v>
      </c>
      <c r="J10" s="9">
        <v>5149.8999999999996</v>
      </c>
      <c r="K10" s="24">
        <f>J10/H10</f>
        <v>17.166333333333331</v>
      </c>
      <c r="L10" s="7">
        <f>J10/(I10*H10)</f>
        <v>1.8810770927845593E-2</v>
      </c>
    </row>
    <row r="11" spans="1:12" x14ac:dyDescent="0.2">
      <c r="A11" s="23" t="s">
        <v>283</v>
      </c>
      <c r="B11" s="23" t="s">
        <v>282</v>
      </c>
      <c r="C11" s="23" t="s">
        <v>82</v>
      </c>
      <c r="D11" s="23" t="s">
        <v>167</v>
      </c>
      <c r="E11" s="23" t="s">
        <v>286</v>
      </c>
      <c r="F11" s="23" t="s">
        <v>285</v>
      </c>
      <c r="G11" s="23" t="s">
        <v>86</v>
      </c>
      <c r="H11" s="9">
        <v>300</v>
      </c>
      <c r="I11" s="24">
        <v>912.58</v>
      </c>
      <c r="J11" s="9">
        <v>3831.7</v>
      </c>
      <c r="K11" s="24">
        <f>J11/H11</f>
        <v>12.772333333333332</v>
      </c>
      <c r="L11" s="7">
        <f>J11/(I11*H11)</f>
        <v>1.3995850592094208E-2</v>
      </c>
    </row>
    <row r="12" spans="1:12" x14ac:dyDescent="0.2">
      <c r="A12" s="23"/>
      <c r="B12" s="23"/>
      <c r="C12" s="23"/>
      <c r="D12" s="23"/>
      <c r="E12" s="23"/>
      <c r="F12" s="23"/>
      <c r="G12" s="23"/>
      <c r="H12" s="9"/>
      <c r="I12" s="24"/>
      <c r="J12" s="9"/>
      <c r="K12" s="24"/>
      <c r="L12" s="7"/>
    </row>
    <row r="13" spans="1:12" x14ac:dyDescent="0.2">
      <c r="A13" s="23" t="s">
        <v>283</v>
      </c>
      <c r="B13" s="23" t="s">
        <v>282</v>
      </c>
      <c r="C13" s="23" t="s">
        <v>82</v>
      </c>
      <c r="D13" s="23" t="s">
        <v>140</v>
      </c>
      <c r="E13" s="23" t="s">
        <v>281</v>
      </c>
      <c r="F13" s="23" t="s">
        <v>284</v>
      </c>
      <c r="G13" s="23" t="s">
        <v>86</v>
      </c>
      <c r="H13" s="9">
        <v>14379</v>
      </c>
      <c r="I13" s="24">
        <v>999.15</v>
      </c>
      <c r="J13" s="24">
        <v>1551.48</v>
      </c>
      <c r="K13" s="27">
        <f>J13/H13</f>
        <v>0.10789901940329648</v>
      </c>
      <c r="L13" s="26">
        <f>J13/(I13*H13)</f>
        <v>1.0799081159315065E-4</v>
      </c>
    </row>
    <row r="14" spans="1:12" x14ac:dyDescent="0.2">
      <c r="A14" s="23" t="s">
        <v>283</v>
      </c>
      <c r="B14" s="23" t="s">
        <v>282</v>
      </c>
      <c r="C14" s="23" t="s">
        <v>82</v>
      </c>
      <c r="D14" s="23" t="s">
        <v>140</v>
      </c>
      <c r="E14" s="23" t="s">
        <v>281</v>
      </c>
      <c r="F14" s="23" t="s">
        <v>280</v>
      </c>
      <c r="G14" s="23" t="s">
        <v>86</v>
      </c>
      <c r="H14" s="9">
        <v>14379</v>
      </c>
      <c r="I14" s="24">
        <v>999.15</v>
      </c>
      <c r="J14" s="24">
        <v>2057.58</v>
      </c>
      <c r="K14" s="27">
        <f>J14/H14</f>
        <v>0.14309618193198415</v>
      </c>
      <c r="L14" s="26">
        <f>J14/(I14*H14)</f>
        <v>1.4321791716157147E-4</v>
      </c>
    </row>
    <row r="15" spans="1:12" x14ac:dyDescent="0.2">
      <c r="A15" s="8"/>
      <c r="B15" s="8"/>
      <c r="C15" s="8"/>
      <c r="D15" s="8"/>
      <c r="E15" s="8"/>
      <c r="F15" s="8"/>
      <c r="G15" s="8"/>
      <c r="H15" s="9"/>
      <c r="I15" s="9"/>
      <c r="J15" s="9"/>
      <c r="K15" s="24"/>
      <c r="L15" s="9"/>
    </row>
    <row r="16" spans="1:12" x14ac:dyDescent="0.2">
      <c r="A16" s="25" t="s">
        <v>279</v>
      </c>
      <c r="B16" s="25"/>
      <c r="C16" s="25"/>
      <c r="D16" s="25"/>
      <c r="E16" s="25"/>
      <c r="F16" s="25"/>
      <c r="G16" s="8"/>
      <c r="H16" s="9"/>
      <c r="I16" s="9"/>
      <c r="J16" s="9"/>
      <c r="K16" s="24"/>
      <c r="L16" s="9"/>
    </row>
    <row r="17" spans="1:12" x14ac:dyDescent="0.2">
      <c r="A17" s="8" t="s">
        <v>278</v>
      </c>
      <c r="B17" s="8" t="s">
        <v>277</v>
      </c>
      <c r="C17" s="8"/>
      <c r="D17" s="8" t="s">
        <v>276</v>
      </c>
      <c r="E17" s="8"/>
      <c r="F17" s="8"/>
      <c r="G17" s="23" t="s">
        <v>100</v>
      </c>
      <c r="H17" s="9">
        <v>7200</v>
      </c>
      <c r="I17" s="9"/>
      <c r="J17" s="9">
        <v>60</v>
      </c>
      <c r="K17" s="7">
        <f>J17/H17</f>
        <v>8.3333333333333332E-3</v>
      </c>
      <c r="L17" s="9"/>
    </row>
  </sheetData>
  <conditionalFormatting sqref="E13:E14">
    <cfRule type="containsText" dxfId="6" priority="1" operator="containsText" text="GPU">
      <formula>NOT(ISERROR(SEARCH("GPU",E13)))</formula>
    </cfRule>
  </conditionalFormatting>
  <conditionalFormatting sqref="F10:F12">
    <cfRule type="containsText" dxfId="5" priority="2" operator="containsText" text="B">
      <formula>NOT(ISERROR(SEARCH("B",F10)))</formula>
    </cfRule>
    <cfRule type="containsText" dxfId="4" priority="3" operator="containsText" text="B">
      <formula>NOT(ISERROR(SEARCH("B",F10)))</formula>
    </cfRule>
  </conditionalFormatting>
  <conditionalFormatting sqref="G2:G17">
    <cfRule type="containsText" dxfId="3" priority="4" operator="containsText" text="FUll">
      <formula>NOT(ISERROR(SEARCH("FUll",G2)))</formula>
    </cfRule>
  </conditionalFormatting>
  <conditionalFormatting sqref="K2:K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4">
    <cfRule type="colorScale" priority="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5B5A-2973-D64E-97C6-4B9C36BE10BE}">
  <dimension ref="A1:CB21"/>
  <sheetViews>
    <sheetView topLeftCell="BN1" workbookViewId="0">
      <selection activeCell="BS30" sqref="BS30"/>
    </sheetView>
  </sheetViews>
  <sheetFormatPr baseColWidth="10" defaultRowHeight="16" x14ac:dyDescent="0.2"/>
  <cols>
    <col min="1" max="3" width="0" style="1" hidden="1" customWidth="1"/>
    <col min="4" max="4" width="19.83203125" style="1" hidden="1" customWidth="1"/>
    <col min="5" max="65" width="0" style="1" hidden="1" customWidth="1"/>
    <col min="66" max="66" width="10.83203125" style="1"/>
    <col min="67" max="67" width="9.33203125" style="1" customWidth="1"/>
    <col min="68" max="68" width="8.33203125" style="1" customWidth="1"/>
    <col min="69" max="69" width="0" style="1" hidden="1" customWidth="1"/>
    <col min="70" max="70" width="21" style="1" customWidth="1"/>
    <col min="71" max="71" width="11.5" style="1" customWidth="1"/>
    <col min="72" max="73" width="18.83203125" style="1" customWidth="1"/>
    <col min="74" max="74" width="7.5" style="1" customWidth="1"/>
    <col min="75" max="75" width="13" style="1" customWidth="1"/>
    <col min="76" max="76" width="10.83203125" style="1"/>
    <col min="77" max="77" width="7.5" style="1" customWidth="1"/>
    <col min="78" max="78" width="7.33203125" style="1" customWidth="1"/>
    <col min="79" max="79" width="7.1640625" style="1" customWidth="1"/>
    <col min="80" max="80" width="9" style="1" customWidth="1"/>
    <col min="81" max="16384" width="10.83203125" style="1"/>
  </cols>
  <sheetData>
    <row r="1" spans="1:80" s="77" customFormat="1" ht="53" customHeigh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81</v>
      </c>
      <c r="C2" s="1" t="s">
        <v>82</v>
      </c>
      <c r="D2" s="1" t="s">
        <v>89</v>
      </c>
      <c r="E2" s="1">
        <v>152</v>
      </c>
      <c r="F2" s="1">
        <v>607</v>
      </c>
      <c r="G2" s="1">
        <v>0.25041186161449802</v>
      </c>
      <c r="H2" s="1">
        <v>0.95364238410596003</v>
      </c>
      <c r="I2" s="1">
        <v>0.93267611270276496</v>
      </c>
      <c r="J2" s="1">
        <v>0.97214772023932305</v>
      </c>
      <c r="K2" s="1">
        <v>0.94736842105263197</v>
      </c>
      <c r="L2" s="1">
        <v>0.90909090909090895</v>
      </c>
      <c r="M2" s="1">
        <v>0.98026315789473695</v>
      </c>
      <c r="N2" s="1">
        <v>0.98681318681318697</v>
      </c>
      <c r="O2" s="1">
        <v>0.984615384615385</v>
      </c>
      <c r="P2" s="1">
        <v>0.992307692307692</v>
      </c>
      <c r="Q2" s="1">
        <v>0.96</v>
      </c>
      <c r="R2" s="1">
        <v>0.952329065649687</v>
      </c>
      <c r="S2" s="1">
        <v>0.97626380283890002</v>
      </c>
      <c r="T2" s="1">
        <v>0.982494529540481</v>
      </c>
      <c r="U2" s="1">
        <v>0.97007874015747997</v>
      </c>
      <c r="V2" s="1">
        <v>0.99334854437409403</v>
      </c>
      <c r="W2" s="1">
        <v>0.25041186161449802</v>
      </c>
      <c r="X2" s="1">
        <v>0.25041186161449802</v>
      </c>
      <c r="Y2" s="1">
        <v>0.25041186161449802</v>
      </c>
      <c r="Z2" s="1">
        <v>0.93832886293178996</v>
      </c>
      <c r="AA2" s="1">
        <v>0.91125539809012202</v>
      </c>
      <c r="AB2" s="1">
        <v>0.96281770837260405</v>
      </c>
      <c r="AC2" s="1">
        <v>0.97111726507766305</v>
      </c>
      <c r="AD2" s="1">
        <v>0.96215659317102797</v>
      </c>
      <c r="AE2" s="1">
        <v>0.98118327942661299</v>
      </c>
      <c r="AF2" s="1">
        <v>0.98249503354158896</v>
      </c>
      <c r="AG2" s="1">
        <v>0.96895975014367797</v>
      </c>
      <c r="AH2" s="1">
        <v>0.99357418841961398</v>
      </c>
      <c r="AI2" s="1">
        <v>307</v>
      </c>
      <c r="AJ2" s="1">
        <v>150</v>
      </c>
      <c r="AK2" s="1">
        <v>157</v>
      </c>
      <c r="AL2" s="1">
        <v>144</v>
      </c>
      <c r="AM2" s="1">
        <v>0</v>
      </c>
      <c r="AN2" s="1">
        <v>8</v>
      </c>
      <c r="AO2" s="1">
        <v>0</v>
      </c>
      <c r="AP2" s="1">
        <v>0</v>
      </c>
      <c r="AQ2" s="1">
        <v>6</v>
      </c>
      <c r="AR2" s="1">
        <v>0</v>
      </c>
      <c r="AS2" s="1">
        <v>149</v>
      </c>
      <c r="AT2" s="1">
        <v>147</v>
      </c>
      <c r="AU2" s="1">
        <v>4</v>
      </c>
      <c r="AV2" s="1">
        <v>13</v>
      </c>
      <c r="AW2" s="1">
        <v>143</v>
      </c>
      <c r="AX2" s="1">
        <v>0.88932714125156398</v>
      </c>
      <c r="AY2" s="1">
        <v>0.83645454761711802</v>
      </c>
      <c r="AZ2" s="1">
        <v>0.934877603835221</v>
      </c>
      <c r="BA2" s="1">
        <v>966</v>
      </c>
      <c r="BB2" s="1">
        <v>1208.1596091205199</v>
      </c>
      <c r="BC2" s="1">
        <v>152</v>
      </c>
      <c r="BD2" s="1">
        <v>155</v>
      </c>
      <c r="BE2" s="1">
        <v>0.89893026289874101</v>
      </c>
      <c r="BF2" s="1">
        <v>0.97700651228527002</v>
      </c>
      <c r="BG2" s="1">
        <v>0.95416811039961602</v>
      </c>
      <c r="BH2" s="1">
        <v>0.99843352174177202</v>
      </c>
      <c r="BI2" s="1">
        <v>0.89893026289874101</v>
      </c>
      <c r="BJ2" s="1">
        <v>0.95416811039961602</v>
      </c>
      <c r="BK2" s="1">
        <v>0.98026315789473695</v>
      </c>
      <c r="BL2" s="1">
        <v>0.99843352174177202</v>
      </c>
      <c r="BM2" s="1">
        <v>1</v>
      </c>
      <c r="BN2" s="4" t="s">
        <v>84</v>
      </c>
      <c r="BO2" s="4" t="s">
        <v>85</v>
      </c>
      <c r="BP2" s="4" t="s">
        <v>82</v>
      </c>
      <c r="BQ2" s="4" t="s">
        <v>89</v>
      </c>
      <c r="BR2" s="4" t="s">
        <v>86</v>
      </c>
      <c r="BS2" s="5">
        <v>0.25</v>
      </c>
      <c r="BT2" s="6" t="s">
        <v>90</v>
      </c>
      <c r="BU2" s="6" t="s">
        <v>91</v>
      </c>
      <c r="BV2" s="7">
        <v>0.98199999999999998</v>
      </c>
      <c r="BW2" s="7">
        <v>0.96</v>
      </c>
      <c r="BX2" s="7">
        <v>0.98199999999999998</v>
      </c>
      <c r="BY2" s="7">
        <v>0.95399999999999996</v>
      </c>
      <c r="BZ2" s="7">
        <v>0.97099999999999997</v>
      </c>
      <c r="CA2" s="7">
        <v>0.93799999999999994</v>
      </c>
      <c r="CB2" s="7">
        <v>0.88900000000000001</v>
      </c>
    </row>
    <row r="3" spans="1:80" x14ac:dyDescent="0.2">
      <c r="A3" s="1" t="s">
        <v>80</v>
      </c>
      <c r="B3" s="1" t="s">
        <v>81</v>
      </c>
      <c r="C3" s="1" t="s">
        <v>206</v>
      </c>
      <c r="D3" s="1" t="s">
        <v>89</v>
      </c>
      <c r="E3" s="1">
        <v>1003</v>
      </c>
      <c r="F3" s="1">
        <v>3825</v>
      </c>
      <c r="G3" s="1">
        <v>0.26222222222222202</v>
      </c>
      <c r="H3" s="1">
        <v>0.95225285810356397</v>
      </c>
      <c r="I3" s="1">
        <v>0.90670290190414804</v>
      </c>
      <c r="J3" s="1">
        <v>0.98958333333333304</v>
      </c>
      <c r="K3" s="1">
        <v>0.96</v>
      </c>
      <c r="L3" s="1">
        <v>0.91836734693877597</v>
      </c>
      <c r="M3" s="1">
        <v>0.99090909090909096</v>
      </c>
      <c r="N3" s="1">
        <v>0.98</v>
      </c>
      <c r="O3" s="1">
        <v>0.94845360824742297</v>
      </c>
      <c r="P3" s="1">
        <v>1</v>
      </c>
      <c r="Q3" s="1">
        <v>0.94462975316877895</v>
      </c>
      <c r="R3" s="1">
        <v>0.86860851670096595</v>
      </c>
      <c r="S3" s="1">
        <v>1</v>
      </c>
      <c r="T3" s="1">
        <v>0.98570043625787696</v>
      </c>
      <c r="U3" s="1">
        <v>0.97125635245118602</v>
      </c>
      <c r="V3" s="1">
        <v>0.996706343545116</v>
      </c>
      <c r="W3" s="1">
        <v>0.26222222222222202</v>
      </c>
      <c r="X3" s="1">
        <v>0.26222222222222202</v>
      </c>
      <c r="Y3" s="1">
        <v>0.26222222222222202</v>
      </c>
      <c r="Z3" s="1">
        <v>0.93515259613661805</v>
      </c>
      <c r="AA3" s="1">
        <v>0.87392039163647595</v>
      </c>
      <c r="AB3" s="1">
        <v>0.98603066559287</v>
      </c>
      <c r="AC3" s="1">
        <v>0.96496917513330505</v>
      </c>
      <c r="AD3" s="1">
        <v>0.92299188159135803</v>
      </c>
      <c r="AE3" s="1">
        <v>0.996272664097542</v>
      </c>
      <c r="AF3" s="1">
        <v>0.98620375324495202</v>
      </c>
      <c r="AG3" s="1">
        <v>0.97088349964543197</v>
      </c>
      <c r="AH3" s="1">
        <v>0.99695685800178302</v>
      </c>
      <c r="AI3" s="1">
        <v>200</v>
      </c>
      <c r="AJ3" s="1">
        <v>98</v>
      </c>
      <c r="AK3" s="1">
        <v>102</v>
      </c>
      <c r="AL3" s="1">
        <v>96</v>
      </c>
      <c r="AM3" s="1">
        <v>0</v>
      </c>
      <c r="AN3" s="1">
        <v>4</v>
      </c>
      <c r="AO3" s="1">
        <v>0</v>
      </c>
      <c r="AP3" s="1">
        <v>0</v>
      </c>
      <c r="AQ3" s="1">
        <v>2</v>
      </c>
      <c r="AR3" s="1">
        <v>0</v>
      </c>
      <c r="AS3" s="1">
        <v>98</v>
      </c>
      <c r="AT3" s="1">
        <v>93</v>
      </c>
      <c r="AU3" s="1">
        <v>1</v>
      </c>
      <c r="AV3" s="1">
        <v>8</v>
      </c>
      <c r="AW3" s="1">
        <v>98</v>
      </c>
      <c r="AX3" s="1">
        <v>0.91005396761942803</v>
      </c>
      <c r="AY3" s="1">
        <v>0.84981903178667195</v>
      </c>
      <c r="AZ3" s="1">
        <v>0.96</v>
      </c>
      <c r="BA3" s="1">
        <v>850</v>
      </c>
      <c r="BB3" s="1">
        <v>1293.32</v>
      </c>
      <c r="BC3" s="1">
        <v>100</v>
      </c>
      <c r="BD3" s="1">
        <v>100</v>
      </c>
      <c r="BE3" s="1">
        <v>0.90074284328734</v>
      </c>
      <c r="BF3" s="1">
        <v>0.98899550601381203</v>
      </c>
      <c r="BG3" s="1">
        <v>0.92961606752893</v>
      </c>
      <c r="BH3" s="1">
        <v>0.99756866317605697</v>
      </c>
      <c r="BI3" s="1">
        <v>0.90074284328734</v>
      </c>
      <c r="BJ3" s="1">
        <v>0.92961606752893</v>
      </c>
      <c r="BK3" s="1">
        <v>0.99090909090909096</v>
      </c>
      <c r="BL3" s="1">
        <v>1</v>
      </c>
      <c r="BM3" s="1">
        <v>1</v>
      </c>
      <c r="BN3" s="4" t="s">
        <v>84</v>
      </c>
      <c r="BO3" s="4" t="s">
        <v>85</v>
      </c>
      <c r="BP3" s="4" t="s">
        <v>206</v>
      </c>
      <c r="BQ3" s="4" t="s">
        <v>89</v>
      </c>
      <c r="BR3" s="4" t="s">
        <v>86</v>
      </c>
      <c r="BS3" s="5">
        <v>0.26200000000000001</v>
      </c>
      <c r="BT3" s="6" t="s">
        <v>209</v>
      </c>
      <c r="BU3" s="6" t="s">
        <v>200</v>
      </c>
      <c r="BV3" s="7">
        <v>0.98599999999999999</v>
      </c>
      <c r="BW3" s="7">
        <v>0.94499999999999995</v>
      </c>
      <c r="BX3" s="7">
        <v>0.98599999999999999</v>
      </c>
      <c r="BY3" s="7">
        <v>0.95199999999999996</v>
      </c>
      <c r="BZ3" s="7">
        <v>0.96499999999999997</v>
      </c>
      <c r="CA3" s="7">
        <v>0.93500000000000005</v>
      </c>
      <c r="CB3" s="7">
        <v>0.91</v>
      </c>
    </row>
    <row r="4" spans="1:80" x14ac:dyDescent="0.2">
      <c r="A4" s="1" t="s">
        <v>80</v>
      </c>
      <c r="B4" s="1" t="s">
        <v>81</v>
      </c>
      <c r="C4" s="1" t="s">
        <v>82</v>
      </c>
      <c r="D4" s="1" t="s">
        <v>99</v>
      </c>
      <c r="E4" s="1" t="s">
        <v>93</v>
      </c>
      <c r="F4" s="1" t="s">
        <v>93</v>
      </c>
      <c r="G4" s="1">
        <v>0.24509368968664599</v>
      </c>
      <c r="H4" s="1">
        <v>0.91063276198969201</v>
      </c>
      <c r="I4" s="1">
        <v>0.86383242498466395</v>
      </c>
      <c r="J4" s="1">
        <v>0.95067264573990995</v>
      </c>
      <c r="K4" s="1">
        <v>0.909762764733134</v>
      </c>
      <c r="L4" s="1">
        <v>0.83827972307077003</v>
      </c>
      <c r="M4" s="1">
        <v>0.97</v>
      </c>
      <c r="N4" s="1">
        <v>0.97132324491418898</v>
      </c>
      <c r="O4" s="1">
        <v>0.95392752643852996</v>
      </c>
      <c r="P4" s="1">
        <v>0.98730208864355795</v>
      </c>
      <c r="Q4" s="1">
        <v>0.91150442477876104</v>
      </c>
      <c r="R4" s="1">
        <v>0.85576923076923095</v>
      </c>
      <c r="S4" s="1">
        <v>0.9609375</v>
      </c>
      <c r="T4" s="1">
        <v>0.97072104855055696</v>
      </c>
      <c r="U4" s="1">
        <v>0.945174842136006</v>
      </c>
      <c r="V4" s="1">
        <v>0.99053030017323296</v>
      </c>
      <c r="W4" s="1">
        <v>0.24509368968664599</v>
      </c>
      <c r="X4" s="1">
        <v>0.22715358427150001</v>
      </c>
      <c r="Y4" s="1">
        <v>0.26551375385305398</v>
      </c>
      <c r="Z4" s="1">
        <v>0.88165555740603696</v>
      </c>
      <c r="AA4" s="1">
        <v>0.82091914408400901</v>
      </c>
      <c r="AB4" s="1">
        <v>0.93461565772903099</v>
      </c>
      <c r="AC4" s="1">
        <v>0.94053886035048195</v>
      </c>
      <c r="AD4" s="1">
        <v>0.90864513581605</v>
      </c>
      <c r="AE4" s="1">
        <v>0.96744137505401095</v>
      </c>
      <c r="AF4" s="1">
        <v>0.97148383896452395</v>
      </c>
      <c r="AG4" s="1">
        <v>0.94227318145402195</v>
      </c>
      <c r="AH4" s="1">
        <v>0.99128790596091498</v>
      </c>
      <c r="AI4" s="1">
        <v>227</v>
      </c>
      <c r="AJ4" s="1">
        <v>113</v>
      </c>
      <c r="AK4" s="1">
        <v>114</v>
      </c>
      <c r="AL4" s="1">
        <v>103</v>
      </c>
      <c r="AM4" s="1">
        <v>0</v>
      </c>
      <c r="AN4" s="1">
        <v>6</v>
      </c>
      <c r="AO4" s="1">
        <v>2</v>
      </c>
      <c r="AP4" s="1">
        <v>5</v>
      </c>
      <c r="AQ4" s="1">
        <v>5</v>
      </c>
      <c r="AR4" s="1">
        <v>1</v>
      </c>
      <c r="AS4" s="1">
        <v>105</v>
      </c>
      <c r="AT4" s="1">
        <v>111</v>
      </c>
      <c r="AU4" s="1">
        <v>2</v>
      </c>
      <c r="AV4" s="1">
        <v>12</v>
      </c>
      <c r="AW4" s="1">
        <v>102</v>
      </c>
      <c r="AX4" s="1">
        <v>0.87669744703965202</v>
      </c>
      <c r="AY4" s="1">
        <v>0.813137598155249</v>
      </c>
      <c r="AZ4" s="1">
        <v>0.93753758913907104</v>
      </c>
      <c r="BA4" s="1">
        <v>5140</v>
      </c>
      <c r="BB4" s="1">
        <v>5623.2995594713702</v>
      </c>
      <c r="BC4" s="1">
        <v>111</v>
      </c>
      <c r="BD4" s="1">
        <v>116</v>
      </c>
      <c r="BE4" s="1">
        <v>0.84055759107196004</v>
      </c>
      <c r="BF4" s="1">
        <v>0.95594904997464902</v>
      </c>
      <c r="BG4" s="1">
        <v>0.92627869486423597</v>
      </c>
      <c r="BH4" s="1">
        <v>0.99463453165395799</v>
      </c>
      <c r="BI4" s="1">
        <v>0.83827972307077003</v>
      </c>
      <c r="BJ4" s="1">
        <v>0.92627869486423597</v>
      </c>
      <c r="BK4" s="1">
        <v>0.97</v>
      </c>
      <c r="BL4" s="1">
        <v>0.99463453165395799</v>
      </c>
      <c r="BM4" s="1">
        <v>1</v>
      </c>
      <c r="BN4" s="4" t="s">
        <v>84</v>
      </c>
      <c r="BO4" s="4" t="s">
        <v>85</v>
      </c>
      <c r="BP4" s="4" t="s">
        <v>82</v>
      </c>
      <c r="BQ4" s="4" t="s">
        <v>99</v>
      </c>
      <c r="BR4" s="4" t="s">
        <v>100</v>
      </c>
      <c r="BS4" s="5">
        <v>0.245</v>
      </c>
      <c r="BT4" s="6" t="s">
        <v>101</v>
      </c>
      <c r="BU4" s="6" t="s">
        <v>102</v>
      </c>
      <c r="BV4" s="7">
        <v>0.97099999999999997</v>
      </c>
      <c r="BW4" s="7">
        <v>0.91200000000000003</v>
      </c>
      <c r="BX4" s="7">
        <v>0.97099999999999997</v>
      </c>
      <c r="BY4" s="7">
        <v>0.91100000000000003</v>
      </c>
      <c r="BZ4" s="7">
        <v>0.94099999999999995</v>
      </c>
      <c r="CA4" s="7">
        <v>0.88200000000000001</v>
      </c>
      <c r="CB4" s="7">
        <v>0.877</v>
      </c>
    </row>
    <row r="5" spans="1:80" x14ac:dyDescent="0.2">
      <c r="A5" s="1" t="s">
        <v>80</v>
      </c>
      <c r="B5" s="1" t="s">
        <v>126</v>
      </c>
      <c r="C5" s="1" t="s">
        <v>82</v>
      </c>
      <c r="D5" s="1" t="s">
        <v>89</v>
      </c>
      <c r="E5" s="1">
        <v>515</v>
      </c>
      <c r="F5" s="1">
        <v>1000</v>
      </c>
      <c r="G5" s="1">
        <v>0.51500000000000001</v>
      </c>
      <c r="H5" s="1">
        <v>0.93926799007444195</v>
      </c>
      <c r="I5" s="1">
        <v>0.91451670756900505</v>
      </c>
      <c r="J5" s="1">
        <v>0.96246656850166101</v>
      </c>
      <c r="K5" s="1">
        <v>0.98</v>
      </c>
      <c r="L5" s="1">
        <v>0.95454545454545503</v>
      </c>
      <c r="M5" s="1">
        <v>1</v>
      </c>
      <c r="N5" s="1">
        <v>0.88666666666666705</v>
      </c>
      <c r="O5" s="1">
        <v>0.83333333333333304</v>
      </c>
      <c r="P5" s="1">
        <v>0.93478966685488396</v>
      </c>
      <c r="Q5" s="1">
        <v>0.901786777843955</v>
      </c>
      <c r="R5" s="1">
        <v>0.86204149273894004</v>
      </c>
      <c r="S5" s="1">
        <v>0.94100574844447904</v>
      </c>
      <c r="T5" s="1">
        <v>0.97660862982588903</v>
      </c>
      <c r="U5" s="1">
        <v>0.94835661006685801</v>
      </c>
      <c r="V5" s="1">
        <v>1</v>
      </c>
      <c r="W5" s="1">
        <v>0.51500000000000001</v>
      </c>
      <c r="X5" s="1">
        <v>0.51500000000000001</v>
      </c>
      <c r="Y5" s="1">
        <v>0.51500000000000001</v>
      </c>
      <c r="Z5" s="1">
        <v>0.87251132942818099</v>
      </c>
      <c r="AA5" s="1">
        <v>0.81915954510075595</v>
      </c>
      <c r="AB5" s="1">
        <v>0.92193410318886404</v>
      </c>
      <c r="AC5" s="1">
        <v>0.93965013600316005</v>
      </c>
      <c r="AD5" s="1">
        <v>0.91559292917811497</v>
      </c>
      <c r="AE5" s="1">
        <v>0.96247188097067005</v>
      </c>
      <c r="AF5" s="1">
        <v>0.98083238530115502</v>
      </c>
      <c r="AG5" s="1">
        <v>0.95641329730729197</v>
      </c>
      <c r="AH5" s="1">
        <v>1</v>
      </c>
      <c r="AI5" s="1">
        <v>300</v>
      </c>
      <c r="AJ5" s="1">
        <v>164</v>
      </c>
      <c r="AK5" s="1">
        <v>136</v>
      </c>
      <c r="AL5" s="1">
        <v>147</v>
      </c>
      <c r="AM5" s="1">
        <v>0</v>
      </c>
      <c r="AN5" s="1">
        <v>3</v>
      </c>
      <c r="AO5" s="1">
        <v>0</v>
      </c>
      <c r="AP5" s="1">
        <v>0</v>
      </c>
      <c r="AQ5" s="1">
        <v>17</v>
      </c>
      <c r="AR5" s="1">
        <v>0</v>
      </c>
      <c r="AS5" s="1">
        <v>133</v>
      </c>
      <c r="AT5" s="1">
        <v>155</v>
      </c>
      <c r="AU5" s="1">
        <v>1</v>
      </c>
      <c r="AV5" s="1">
        <v>11</v>
      </c>
      <c r="AW5" s="1">
        <v>133</v>
      </c>
      <c r="AX5" s="1">
        <v>0.91965720407070195</v>
      </c>
      <c r="AY5" s="1">
        <v>0.87285782136397105</v>
      </c>
      <c r="AZ5" s="1">
        <v>0.959893271490738</v>
      </c>
      <c r="BA5" s="1">
        <v>679</v>
      </c>
      <c r="BB5" s="1">
        <v>1092.37666666667</v>
      </c>
      <c r="BC5" s="1">
        <v>150</v>
      </c>
      <c r="BD5" s="1">
        <v>150</v>
      </c>
      <c r="BE5" s="1">
        <v>0.94266577771179405</v>
      </c>
      <c r="BF5" s="1">
        <v>0.99585637471877897</v>
      </c>
      <c r="BG5" s="1">
        <v>0.82475136133446303</v>
      </c>
      <c r="BH5" s="1">
        <v>0.93257586035209095</v>
      </c>
      <c r="BI5" s="1">
        <v>0.94266577771179405</v>
      </c>
      <c r="BJ5" s="1">
        <v>0.82475136133446303</v>
      </c>
      <c r="BK5" s="1">
        <v>1</v>
      </c>
      <c r="BL5" s="1">
        <v>0.93478966685488396</v>
      </c>
      <c r="BM5" s="1">
        <v>1</v>
      </c>
      <c r="BN5" s="4" t="s">
        <v>84</v>
      </c>
      <c r="BO5" s="4" t="s">
        <v>127</v>
      </c>
      <c r="BP5" s="4" t="s">
        <v>82</v>
      </c>
      <c r="BQ5" s="4" t="s">
        <v>89</v>
      </c>
      <c r="BR5" s="4" t="s">
        <v>86</v>
      </c>
      <c r="BS5" s="5">
        <v>0.51500000000000001</v>
      </c>
      <c r="BT5" s="6" t="s">
        <v>130</v>
      </c>
      <c r="BU5" s="6" t="s">
        <v>131</v>
      </c>
      <c r="BV5" s="7">
        <v>0.98099999999999998</v>
      </c>
      <c r="BW5" s="7">
        <v>0.90200000000000002</v>
      </c>
      <c r="BX5" s="7">
        <v>0.97699999999999998</v>
      </c>
      <c r="BY5" s="7">
        <v>0.93899999999999995</v>
      </c>
      <c r="BZ5" s="7">
        <v>0.94</v>
      </c>
      <c r="CA5" s="7">
        <v>0.873</v>
      </c>
      <c r="CB5" s="7">
        <v>0.92</v>
      </c>
    </row>
    <row r="6" spans="1:80" x14ac:dyDescent="0.2">
      <c r="A6" s="1" t="s">
        <v>80</v>
      </c>
      <c r="B6" s="1" t="s">
        <v>126</v>
      </c>
      <c r="C6" s="1" t="s">
        <v>206</v>
      </c>
      <c r="D6" s="1" t="s">
        <v>89</v>
      </c>
      <c r="E6" s="1">
        <v>261</v>
      </c>
      <c r="F6" s="1">
        <v>488</v>
      </c>
      <c r="G6" s="1">
        <v>0.53483606557376995</v>
      </c>
      <c r="H6" s="1">
        <v>0.95935883590064197</v>
      </c>
      <c r="I6" s="1">
        <v>0.93137250526269499</v>
      </c>
      <c r="J6" s="1">
        <v>0.98291699096289298</v>
      </c>
      <c r="K6" s="1">
        <v>0.97</v>
      </c>
      <c r="L6" s="1">
        <v>0.93203883495145601</v>
      </c>
      <c r="M6" s="1">
        <v>1</v>
      </c>
      <c r="N6" s="1">
        <v>0.94</v>
      </c>
      <c r="O6" s="1">
        <v>0.89</v>
      </c>
      <c r="P6" s="1">
        <v>0.98113207547169801</v>
      </c>
      <c r="Q6" s="1">
        <v>0.94894861126728902</v>
      </c>
      <c r="R6" s="1">
        <v>0.91025809070383001</v>
      </c>
      <c r="S6" s="1">
        <v>0.98333152363684895</v>
      </c>
      <c r="T6" s="1">
        <v>0.96460377017313903</v>
      </c>
      <c r="U6" s="1">
        <v>0.92276240096512896</v>
      </c>
      <c r="V6" s="1">
        <v>1</v>
      </c>
      <c r="W6" s="1">
        <v>0.53483606557376995</v>
      </c>
      <c r="X6" s="1">
        <v>0.53483606557376995</v>
      </c>
      <c r="Y6" s="1">
        <v>0.53483606557376995</v>
      </c>
      <c r="Z6" s="1">
        <v>0.91177446065942702</v>
      </c>
      <c r="AA6" s="1">
        <v>0.85089928673041004</v>
      </c>
      <c r="AB6" s="1">
        <v>0.96319385871704999</v>
      </c>
      <c r="AC6" s="1">
        <v>0.95806426080809104</v>
      </c>
      <c r="AD6" s="1">
        <v>0.92963033217163504</v>
      </c>
      <c r="AE6" s="1">
        <v>0.98290276417865496</v>
      </c>
      <c r="AF6" s="1">
        <v>0.96735673978547398</v>
      </c>
      <c r="AG6" s="1">
        <v>0.92584044497755402</v>
      </c>
      <c r="AH6" s="1">
        <v>1</v>
      </c>
      <c r="AI6" s="1">
        <v>200</v>
      </c>
      <c r="AJ6" s="1">
        <v>103</v>
      </c>
      <c r="AK6" s="1">
        <v>97</v>
      </c>
      <c r="AL6" s="1">
        <v>97</v>
      </c>
      <c r="AM6" s="1">
        <v>0</v>
      </c>
      <c r="AN6" s="1">
        <v>3</v>
      </c>
      <c r="AO6" s="1">
        <v>0</v>
      </c>
      <c r="AP6" s="1">
        <v>0</v>
      </c>
      <c r="AQ6" s="1">
        <v>6</v>
      </c>
      <c r="AR6" s="1">
        <v>0</v>
      </c>
      <c r="AS6" s="1">
        <v>94</v>
      </c>
      <c r="AT6" s="1">
        <v>99</v>
      </c>
      <c r="AU6" s="1">
        <v>1</v>
      </c>
      <c r="AV6" s="1">
        <v>5</v>
      </c>
      <c r="AW6" s="1">
        <v>95</v>
      </c>
      <c r="AX6" s="1">
        <v>0.94</v>
      </c>
      <c r="AY6" s="1">
        <v>0.88969058197456397</v>
      </c>
      <c r="AZ6" s="1">
        <v>0.97999399819945998</v>
      </c>
      <c r="BA6" s="1">
        <v>618.5</v>
      </c>
      <c r="BB6" s="1">
        <v>857.28499999999997</v>
      </c>
      <c r="BC6" s="1">
        <v>100</v>
      </c>
      <c r="BD6" s="1">
        <v>100</v>
      </c>
      <c r="BE6" s="1">
        <v>0.91482394702572001</v>
      </c>
      <c r="BF6" s="1">
        <v>0.99377002846169404</v>
      </c>
      <c r="BG6" s="1">
        <v>0.87397006541917699</v>
      </c>
      <c r="BH6" s="1">
        <v>0.97766511392868405</v>
      </c>
      <c r="BI6" s="1">
        <v>0.91482394702572001</v>
      </c>
      <c r="BJ6" s="1">
        <v>0.87397006541917699</v>
      </c>
      <c r="BK6" s="1">
        <v>1</v>
      </c>
      <c r="BL6" s="1">
        <v>0.98113207547169801</v>
      </c>
      <c r="BM6" s="1">
        <v>1</v>
      </c>
      <c r="BN6" s="4" t="s">
        <v>84</v>
      </c>
      <c r="BO6" s="4" t="s">
        <v>127</v>
      </c>
      <c r="BP6" s="4" t="s">
        <v>206</v>
      </c>
      <c r="BQ6" s="4" t="s">
        <v>89</v>
      </c>
      <c r="BR6" s="4" t="s">
        <v>86</v>
      </c>
      <c r="BS6" s="5">
        <v>0.53500000000000003</v>
      </c>
      <c r="BT6" s="6" t="s">
        <v>229</v>
      </c>
      <c r="BU6" s="6" t="s">
        <v>235</v>
      </c>
      <c r="BV6" s="7">
        <v>0.96699999999999997</v>
      </c>
      <c r="BW6" s="7">
        <v>0.94899999999999995</v>
      </c>
      <c r="BX6" s="7">
        <v>0.96499999999999997</v>
      </c>
      <c r="BY6" s="7">
        <v>0.95899999999999996</v>
      </c>
      <c r="BZ6" s="7">
        <v>0.95799999999999996</v>
      </c>
      <c r="CA6" s="7">
        <v>0.91200000000000003</v>
      </c>
      <c r="CB6" s="7">
        <v>0.94</v>
      </c>
    </row>
    <row r="7" spans="1:80" x14ac:dyDescent="0.2">
      <c r="A7" s="1" t="s">
        <v>158</v>
      </c>
      <c r="B7" s="1" t="s">
        <v>81</v>
      </c>
      <c r="C7" s="1" t="s">
        <v>82</v>
      </c>
      <c r="D7" s="1" t="s">
        <v>89</v>
      </c>
      <c r="E7" s="1">
        <v>223</v>
      </c>
      <c r="F7" s="1">
        <v>1492</v>
      </c>
      <c r="G7" s="1">
        <v>0.14946380697050901</v>
      </c>
      <c r="H7" s="1">
        <v>0.896575627339526</v>
      </c>
      <c r="I7" s="1">
        <v>0.82664475147481398</v>
      </c>
      <c r="J7" s="1">
        <v>0.96140637109435401</v>
      </c>
      <c r="K7" s="1">
        <v>0.96666666666666701</v>
      </c>
      <c r="L7" s="1">
        <v>0.934782608695652</v>
      </c>
      <c r="M7" s="1">
        <v>0.99315068493150704</v>
      </c>
      <c r="N7" s="1">
        <v>0.96666666666666701</v>
      </c>
      <c r="O7" s="1">
        <v>0.93525179856115104</v>
      </c>
      <c r="P7" s="1">
        <v>0.99310462919225295</v>
      </c>
      <c r="Q7" s="1">
        <v>0.835961737331955</v>
      </c>
      <c r="R7" s="1">
        <v>0.72434089035900096</v>
      </c>
      <c r="S7" s="1">
        <v>0.96123368935449105</v>
      </c>
      <c r="T7" s="1">
        <v>0.99397687986171102</v>
      </c>
      <c r="U7" s="1">
        <v>0.98824938063894996</v>
      </c>
      <c r="V7" s="1">
        <v>0.99875751852447303</v>
      </c>
      <c r="W7" s="1">
        <v>0.14946380697050901</v>
      </c>
      <c r="X7" s="1">
        <v>0.14946380697050901</v>
      </c>
      <c r="Y7" s="1">
        <v>0.14946380697050901</v>
      </c>
      <c r="Z7" s="1">
        <v>0.88011895562328502</v>
      </c>
      <c r="AA7" s="1">
        <v>0.80284653184061405</v>
      </c>
      <c r="AB7" s="1">
        <v>0.95517362654306903</v>
      </c>
      <c r="AC7" s="1">
        <v>0.90855708746719199</v>
      </c>
      <c r="AD7" s="1">
        <v>0.83847129517630004</v>
      </c>
      <c r="AE7" s="1">
        <v>0.97712353002365504</v>
      </c>
      <c r="AF7" s="1">
        <v>0.99495992231658104</v>
      </c>
      <c r="AG7" s="1">
        <v>0.98973952724841496</v>
      </c>
      <c r="AH7" s="1">
        <v>0.99897018034040497</v>
      </c>
      <c r="AI7" s="1">
        <v>300</v>
      </c>
      <c r="AJ7" s="1">
        <v>150</v>
      </c>
      <c r="AK7" s="1">
        <v>150</v>
      </c>
      <c r="AL7" s="1">
        <v>145</v>
      </c>
      <c r="AM7" s="1">
        <v>0</v>
      </c>
      <c r="AN7" s="1">
        <v>5</v>
      </c>
      <c r="AO7" s="1">
        <v>0</v>
      </c>
      <c r="AP7" s="1">
        <v>0</v>
      </c>
      <c r="AQ7" s="1">
        <v>5</v>
      </c>
      <c r="AR7" s="1">
        <v>0</v>
      </c>
      <c r="AS7" s="1">
        <v>145</v>
      </c>
      <c r="AT7" s="1">
        <v>145</v>
      </c>
      <c r="AU7" s="1">
        <v>3</v>
      </c>
      <c r="AV7" s="1">
        <v>5</v>
      </c>
      <c r="AW7" s="1">
        <v>147</v>
      </c>
      <c r="AX7" s="1">
        <v>0.94666666666666699</v>
      </c>
      <c r="AY7" s="1">
        <v>0.90660024906600201</v>
      </c>
      <c r="AZ7" s="1">
        <v>0.97997508009968004</v>
      </c>
      <c r="BA7" s="1">
        <v>879.5</v>
      </c>
      <c r="BB7" s="1">
        <v>1105.92333333333</v>
      </c>
      <c r="BC7" s="1">
        <v>150</v>
      </c>
      <c r="BD7" s="1">
        <v>150</v>
      </c>
      <c r="BE7" s="1">
        <v>0.92392767746265303</v>
      </c>
      <c r="BF7" s="1">
        <v>0.98908981353108905</v>
      </c>
      <c r="BG7" s="1">
        <v>0.92392767746265303</v>
      </c>
      <c r="BH7" s="1">
        <v>0.98908981353108905</v>
      </c>
      <c r="BI7" s="1">
        <v>0.92392767746265303</v>
      </c>
      <c r="BJ7" s="1">
        <v>0.92392767746265303</v>
      </c>
      <c r="BK7" s="1">
        <v>0.99315068493150704</v>
      </c>
      <c r="BL7" s="1">
        <v>0.99310462919225295</v>
      </c>
      <c r="BM7" s="1">
        <v>2</v>
      </c>
      <c r="BN7" s="8" t="s">
        <v>159</v>
      </c>
      <c r="BO7" s="8" t="s">
        <v>85</v>
      </c>
      <c r="BP7" s="8" t="s">
        <v>82</v>
      </c>
      <c r="BQ7" s="8" t="s">
        <v>89</v>
      </c>
      <c r="BR7" s="8" t="s">
        <v>86</v>
      </c>
      <c r="BS7" s="7">
        <v>0.14899999999999999</v>
      </c>
      <c r="BT7" s="9" t="s">
        <v>173</v>
      </c>
      <c r="BU7" s="9" t="s">
        <v>173</v>
      </c>
      <c r="BV7" s="7">
        <v>0.995</v>
      </c>
      <c r="BW7" s="7">
        <v>0.83599999999999997</v>
      </c>
      <c r="BX7" s="7">
        <v>0.99399999999999999</v>
      </c>
      <c r="BY7" s="7">
        <v>0.89700000000000002</v>
      </c>
      <c r="BZ7" s="7">
        <v>0.90900000000000003</v>
      </c>
      <c r="CA7" s="7">
        <v>0.88</v>
      </c>
      <c r="CB7" s="7">
        <v>0.94699999999999995</v>
      </c>
    </row>
    <row r="8" spans="1:80" x14ac:dyDescent="0.2">
      <c r="A8" s="1" t="s">
        <v>158</v>
      </c>
      <c r="B8" s="1" t="s">
        <v>81</v>
      </c>
      <c r="C8" s="1" t="s">
        <v>206</v>
      </c>
      <c r="D8" s="1" t="s">
        <v>89</v>
      </c>
      <c r="E8" s="1">
        <v>186</v>
      </c>
      <c r="F8" s="1">
        <v>1000</v>
      </c>
      <c r="G8" s="1">
        <v>0.186</v>
      </c>
      <c r="H8" s="1">
        <v>0.89409502605879698</v>
      </c>
      <c r="I8" s="1">
        <v>0.81996205168395697</v>
      </c>
      <c r="J8" s="1">
        <v>0.96355870636816898</v>
      </c>
      <c r="K8" s="1">
        <v>0.95</v>
      </c>
      <c r="L8" s="1">
        <v>0.90291262135922301</v>
      </c>
      <c r="M8" s="1">
        <v>0.98969072164948502</v>
      </c>
      <c r="N8" s="1">
        <v>0.96</v>
      </c>
      <c r="O8" s="1">
        <v>0.91859871855719</v>
      </c>
      <c r="P8" s="1">
        <v>0.99082568807339499</v>
      </c>
      <c r="Q8" s="1">
        <v>0.844404090604989</v>
      </c>
      <c r="R8" s="1">
        <v>0.72675507947098605</v>
      </c>
      <c r="S8" s="1">
        <v>0.95952365334523904</v>
      </c>
      <c r="T8" s="1">
        <v>0.98823886486076296</v>
      </c>
      <c r="U8" s="1">
        <v>0.97749662571481599</v>
      </c>
      <c r="V8" s="1">
        <v>0.99755213920048502</v>
      </c>
      <c r="W8" s="1">
        <v>0.186</v>
      </c>
      <c r="X8" s="1">
        <v>0.186</v>
      </c>
      <c r="Y8" s="1">
        <v>0.186</v>
      </c>
      <c r="Z8" s="1">
        <v>0.87046257212693201</v>
      </c>
      <c r="AA8" s="1">
        <v>0.78255585957391505</v>
      </c>
      <c r="AB8" s="1">
        <v>0.95521399902542703</v>
      </c>
      <c r="AC8" s="1">
        <v>0.91140162529554702</v>
      </c>
      <c r="AD8" s="1">
        <v>0.838058708275221</v>
      </c>
      <c r="AE8" s="1">
        <v>0.976565451491194</v>
      </c>
      <c r="AF8" s="1">
        <v>0.989946964980708</v>
      </c>
      <c r="AG8" s="1">
        <v>0.97942840903660799</v>
      </c>
      <c r="AH8" s="1">
        <v>0.99794632437785302</v>
      </c>
      <c r="AI8" s="1">
        <v>200</v>
      </c>
      <c r="AJ8" s="1">
        <v>99</v>
      </c>
      <c r="AK8" s="1">
        <v>101</v>
      </c>
      <c r="AL8" s="1">
        <v>95</v>
      </c>
      <c r="AM8" s="1">
        <v>0</v>
      </c>
      <c r="AN8" s="1">
        <v>5</v>
      </c>
      <c r="AO8" s="1">
        <v>0</v>
      </c>
      <c r="AP8" s="1">
        <v>0</v>
      </c>
      <c r="AQ8" s="1">
        <v>4</v>
      </c>
      <c r="AR8" s="1">
        <v>0</v>
      </c>
      <c r="AS8" s="1">
        <v>96</v>
      </c>
      <c r="AT8" s="1">
        <v>97</v>
      </c>
      <c r="AU8" s="1">
        <v>0</v>
      </c>
      <c r="AV8" s="1">
        <v>3</v>
      </c>
      <c r="AW8" s="1">
        <v>100</v>
      </c>
      <c r="AX8" s="1">
        <v>0.97</v>
      </c>
      <c r="AY8" s="1">
        <v>0.93004197481511097</v>
      </c>
      <c r="AZ8" s="1">
        <v>1</v>
      </c>
      <c r="BA8" s="1">
        <v>698</v>
      </c>
      <c r="BB8" s="1">
        <v>1044.2850000000001</v>
      </c>
      <c r="BC8" s="1">
        <v>100</v>
      </c>
      <c r="BD8" s="1">
        <v>100</v>
      </c>
      <c r="BE8" s="1">
        <v>0.88716508889453705</v>
      </c>
      <c r="BF8" s="1">
        <v>0.98356812081794798</v>
      </c>
      <c r="BG8" s="1">
        <v>0.90074284328734</v>
      </c>
      <c r="BH8" s="1">
        <v>0.98899550601381203</v>
      </c>
      <c r="BI8" s="1">
        <v>0.88716508889453705</v>
      </c>
      <c r="BJ8" s="1">
        <v>0.90074284328734</v>
      </c>
      <c r="BK8" s="1">
        <v>0.98969072164948502</v>
      </c>
      <c r="BL8" s="1">
        <v>0.99082568807339499</v>
      </c>
      <c r="BM8" s="1">
        <v>2</v>
      </c>
      <c r="BN8" s="8" t="s">
        <v>159</v>
      </c>
      <c r="BO8" s="8" t="s">
        <v>85</v>
      </c>
      <c r="BP8" s="8" t="s">
        <v>206</v>
      </c>
      <c r="BQ8" s="8" t="s">
        <v>89</v>
      </c>
      <c r="BR8" s="8" t="s">
        <v>86</v>
      </c>
      <c r="BS8" s="7">
        <v>0.186</v>
      </c>
      <c r="BT8" s="9" t="s">
        <v>208</v>
      </c>
      <c r="BU8" s="9" t="s">
        <v>209</v>
      </c>
      <c r="BV8" s="7">
        <v>0.99</v>
      </c>
      <c r="BW8" s="7">
        <v>0.84399999999999997</v>
      </c>
      <c r="BX8" s="7">
        <v>0.98799999999999999</v>
      </c>
      <c r="BY8" s="7">
        <v>0.89400000000000002</v>
      </c>
      <c r="BZ8" s="7">
        <v>0.91100000000000003</v>
      </c>
      <c r="CA8" s="7">
        <v>0.87</v>
      </c>
      <c r="CB8" s="7">
        <v>0.97</v>
      </c>
    </row>
    <row r="9" spans="1:80" x14ac:dyDescent="0.2">
      <c r="A9" s="1" t="s">
        <v>158</v>
      </c>
      <c r="B9" s="1" t="s">
        <v>81</v>
      </c>
      <c r="C9" s="1" t="s">
        <v>82</v>
      </c>
      <c r="D9" s="1" t="s">
        <v>99</v>
      </c>
      <c r="E9" s="1" t="s">
        <v>93</v>
      </c>
      <c r="F9" s="1" t="s">
        <v>93</v>
      </c>
      <c r="G9" s="1">
        <v>0.14100520132476599</v>
      </c>
      <c r="H9" s="1">
        <v>0.85444570378542795</v>
      </c>
      <c r="I9" s="1">
        <v>0.77497505429086</v>
      </c>
      <c r="J9" s="1">
        <v>0.92452830188679203</v>
      </c>
      <c r="K9" s="1">
        <v>0.92306534528609896</v>
      </c>
      <c r="L9" s="1">
        <v>0.82191338945042502</v>
      </c>
      <c r="M9" s="1">
        <v>0.991223327077557</v>
      </c>
      <c r="N9" s="1">
        <v>0.96100541325774902</v>
      </c>
      <c r="O9" s="1">
        <v>0.93366755585511596</v>
      </c>
      <c r="P9" s="1">
        <v>0.98189302088077302</v>
      </c>
      <c r="Q9" s="1">
        <v>0.79532233431149801</v>
      </c>
      <c r="R9" s="1">
        <v>0.68673921562144402</v>
      </c>
      <c r="S9" s="1">
        <v>0.89785206906267401</v>
      </c>
      <c r="T9" s="1">
        <v>0.98702908173456505</v>
      </c>
      <c r="U9" s="1">
        <v>0.96697385718976703</v>
      </c>
      <c r="V9" s="1">
        <v>0.99853840873850097</v>
      </c>
      <c r="W9" s="1">
        <v>0.14100520132476599</v>
      </c>
      <c r="X9" s="1">
        <v>0.122035440258615</v>
      </c>
      <c r="Y9" s="1">
        <v>0.16429704861865099</v>
      </c>
      <c r="Z9" s="1">
        <v>0.83165738728859695</v>
      </c>
      <c r="AA9" s="1">
        <v>0.73920228822893397</v>
      </c>
      <c r="AB9" s="1">
        <v>0.91254654332346496</v>
      </c>
      <c r="AC9" s="1">
        <v>0.88174360973216703</v>
      </c>
      <c r="AD9" s="1">
        <v>0.81096367537837299</v>
      </c>
      <c r="AE9" s="1">
        <v>0.94191754377578996</v>
      </c>
      <c r="AF9" s="1">
        <v>0.98923591263027</v>
      </c>
      <c r="AG9" s="1">
        <v>0.96907962289758198</v>
      </c>
      <c r="AH9" s="1">
        <v>0.99892923590372296</v>
      </c>
      <c r="AI9" s="1">
        <v>237</v>
      </c>
      <c r="AJ9" s="1">
        <v>112</v>
      </c>
      <c r="AK9" s="1">
        <v>125</v>
      </c>
      <c r="AL9" s="1">
        <v>94</v>
      </c>
      <c r="AM9" s="1">
        <v>1</v>
      </c>
      <c r="AN9" s="1">
        <v>3</v>
      </c>
      <c r="AO9" s="1">
        <v>1</v>
      </c>
      <c r="AP9" s="1">
        <v>15</v>
      </c>
      <c r="AQ9" s="1">
        <v>2</v>
      </c>
      <c r="AR9" s="1">
        <v>2</v>
      </c>
      <c r="AS9" s="1">
        <v>119</v>
      </c>
      <c r="AT9" s="1">
        <v>107</v>
      </c>
      <c r="AU9" s="1">
        <v>3</v>
      </c>
      <c r="AV9" s="1">
        <v>4</v>
      </c>
      <c r="AW9" s="1">
        <v>123</v>
      </c>
      <c r="AX9" s="1">
        <v>0.94065886897735795</v>
      </c>
      <c r="AY9" s="1">
        <v>0.89035918830126404</v>
      </c>
      <c r="AZ9" s="1">
        <v>0.98279088721617403</v>
      </c>
      <c r="BA9" s="1">
        <v>4895</v>
      </c>
      <c r="BB9" s="1">
        <v>5199.8270042194099</v>
      </c>
      <c r="BC9" s="1">
        <v>99</v>
      </c>
      <c r="BD9" s="1">
        <v>138</v>
      </c>
      <c r="BE9" s="1">
        <v>0.84697302001985397</v>
      </c>
      <c r="BF9" s="1">
        <v>0.96446648373992405</v>
      </c>
      <c r="BG9" s="1">
        <v>0.91747366811895703</v>
      </c>
      <c r="BH9" s="1">
        <v>0.98813275774208198</v>
      </c>
      <c r="BI9" s="1">
        <v>0.82191338945042502</v>
      </c>
      <c r="BJ9" s="1">
        <v>0.91747366811895703</v>
      </c>
      <c r="BK9" s="1">
        <v>0.991223327077557</v>
      </c>
      <c r="BL9" s="1">
        <v>0.98813275774208198</v>
      </c>
      <c r="BM9" s="1">
        <v>2</v>
      </c>
      <c r="BN9" s="8" t="s">
        <v>159</v>
      </c>
      <c r="BO9" s="8" t="s">
        <v>85</v>
      </c>
      <c r="BP9" s="8" t="s">
        <v>82</v>
      </c>
      <c r="BQ9" s="8" t="s">
        <v>99</v>
      </c>
      <c r="BR9" s="8" t="s">
        <v>100</v>
      </c>
      <c r="BS9" s="7">
        <v>0.14099999999999999</v>
      </c>
      <c r="BT9" s="9" t="s">
        <v>177</v>
      </c>
      <c r="BU9" s="9" t="s">
        <v>178</v>
      </c>
      <c r="BV9" s="7">
        <v>0.98899999999999999</v>
      </c>
      <c r="BW9" s="7">
        <v>0.79500000000000004</v>
      </c>
      <c r="BX9" s="7">
        <v>0.98699999999999999</v>
      </c>
      <c r="BY9" s="7">
        <v>0.85399999999999998</v>
      </c>
      <c r="BZ9" s="7">
        <v>0.88200000000000001</v>
      </c>
      <c r="CA9" s="7">
        <v>0.83199999999999996</v>
      </c>
      <c r="CB9" s="7">
        <v>0.94099999999999995</v>
      </c>
    </row>
    <row r="10" spans="1:80" x14ac:dyDescent="0.2">
      <c r="A10" s="1" t="s">
        <v>158</v>
      </c>
      <c r="B10" s="1" t="s">
        <v>126</v>
      </c>
      <c r="C10" s="1" t="s">
        <v>82</v>
      </c>
      <c r="D10" s="1" t="s">
        <v>89</v>
      </c>
      <c r="E10" s="1">
        <v>260</v>
      </c>
      <c r="F10" s="1">
        <v>1000</v>
      </c>
      <c r="G10" s="1">
        <v>0.26</v>
      </c>
      <c r="H10" s="1">
        <v>0.90218910107126205</v>
      </c>
      <c r="I10" s="1">
        <v>0.85395189117939196</v>
      </c>
      <c r="J10" s="1">
        <v>0.95044611831139203</v>
      </c>
      <c r="K10" s="1">
        <v>0.99333333333333296</v>
      </c>
      <c r="L10" s="1">
        <v>0.97902097902097895</v>
      </c>
      <c r="M10" s="1">
        <v>1</v>
      </c>
      <c r="N10" s="1">
        <v>0.92666666666666697</v>
      </c>
      <c r="O10" s="1">
        <v>0.88310792655620196</v>
      </c>
      <c r="P10" s="1">
        <v>0.965753424657534</v>
      </c>
      <c r="Q10" s="1">
        <v>0.82636518771331002</v>
      </c>
      <c r="R10" s="1">
        <v>0.748670215332913</v>
      </c>
      <c r="S10" s="1">
        <v>0.91067202632014999</v>
      </c>
      <c r="T10" s="1">
        <v>0.99747866563227305</v>
      </c>
      <c r="U10" s="1">
        <v>0.99203309330473399</v>
      </c>
      <c r="V10" s="1">
        <v>1</v>
      </c>
      <c r="W10" s="1">
        <v>0.26</v>
      </c>
      <c r="X10" s="1">
        <v>0.26</v>
      </c>
      <c r="Y10" s="1">
        <v>0.26</v>
      </c>
      <c r="Z10" s="1">
        <v>0.87059539688533705</v>
      </c>
      <c r="AA10" s="1">
        <v>0.80782932243262695</v>
      </c>
      <c r="AB10" s="1">
        <v>0.93372888833285295</v>
      </c>
      <c r="AC10" s="1">
        <v>0.90413159879011895</v>
      </c>
      <c r="AD10" s="1">
        <v>0.85578172368990901</v>
      </c>
      <c r="AE10" s="1">
        <v>0.95216089125493497</v>
      </c>
      <c r="AF10" s="1">
        <v>0.99805516876301803</v>
      </c>
      <c r="AG10" s="1">
        <v>0.99363874315231104</v>
      </c>
      <c r="AH10" s="1">
        <v>1</v>
      </c>
      <c r="AI10" s="1">
        <v>300</v>
      </c>
      <c r="AJ10" s="1">
        <v>160</v>
      </c>
      <c r="AK10" s="1">
        <v>140</v>
      </c>
      <c r="AL10" s="1">
        <v>149</v>
      </c>
      <c r="AM10" s="1">
        <v>0</v>
      </c>
      <c r="AN10" s="1">
        <v>1</v>
      </c>
      <c r="AO10" s="1">
        <v>0</v>
      </c>
      <c r="AP10" s="1">
        <v>0</v>
      </c>
      <c r="AQ10" s="1">
        <v>11</v>
      </c>
      <c r="AR10" s="1">
        <v>0</v>
      </c>
      <c r="AS10" s="1">
        <v>139</v>
      </c>
      <c r="AT10" s="1">
        <v>153</v>
      </c>
      <c r="AU10" s="1">
        <v>4</v>
      </c>
      <c r="AV10" s="1">
        <v>4</v>
      </c>
      <c r="AW10" s="1">
        <v>139</v>
      </c>
      <c r="AX10" s="1">
        <v>0.946550265021603</v>
      </c>
      <c r="AY10" s="1">
        <v>0.90641711229946498</v>
      </c>
      <c r="AZ10" s="1">
        <v>0.97996259684744902</v>
      </c>
      <c r="BA10" s="1">
        <v>517</v>
      </c>
      <c r="BB10" s="1">
        <v>881.28666666666697</v>
      </c>
      <c r="BC10" s="1">
        <v>150</v>
      </c>
      <c r="BD10" s="1">
        <v>150</v>
      </c>
      <c r="BE10" s="1">
        <v>0.96341683225941999</v>
      </c>
      <c r="BF10" s="1">
        <v>0.99983122885689002</v>
      </c>
      <c r="BG10" s="1">
        <v>0.87257583787396098</v>
      </c>
      <c r="BH10" s="1">
        <v>0.96282538521809402</v>
      </c>
      <c r="BI10" s="1">
        <v>0.96341683225941999</v>
      </c>
      <c r="BJ10" s="1">
        <v>0.87257583787396098</v>
      </c>
      <c r="BK10" s="1">
        <v>1</v>
      </c>
      <c r="BL10" s="1">
        <v>0.965753424657534</v>
      </c>
      <c r="BM10" s="1">
        <v>2</v>
      </c>
      <c r="BN10" s="8" t="s">
        <v>159</v>
      </c>
      <c r="BO10" s="8" t="s">
        <v>127</v>
      </c>
      <c r="BP10" s="8" t="s">
        <v>82</v>
      </c>
      <c r="BQ10" s="8" t="s">
        <v>89</v>
      </c>
      <c r="BR10" s="8" t="s">
        <v>86</v>
      </c>
      <c r="BS10" s="7">
        <v>0.26</v>
      </c>
      <c r="BT10" s="9" t="s">
        <v>138</v>
      </c>
      <c r="BU10" s="9" t="s">
        <v>162</v>
      </c>
      <c r="BV10" s="7">
        <v>0.998</v>
      </c>
      <c r="BW10" s="7">
        <v>0.82599999999999996</v>
      </c>
      <c r="BX10" s="7">
        <v>0.997</v>
      </c>
      <c r="BY10" s="7">
        <v>0.90200000000000002</v>
      </c>
      <c r="BZ10" s="7">
        <v>0.90400000000000003</v>
      </c>
      <c r="CA10" s="7">
        <v>0.871</v>
      </c>
      <c r="CB10" s="7">
        <v>0.94699999999999995</v>
      </c>
    </row>
    <row r="11" spans="1:80" x14ac:dyDescent="0.2">
      <c r="A11" s="1" t="s">
        <v>158</v>
      </c>
      <c r="B11" s="1" t="s">
        <v>126</v>
      </c>
      <c r="C11" s="1" t="s">
        <v>206</v>
      </c>
      <c r="D11" s="1" t="s">
        <v>89</v>
      </c>
      <c r="E11" s="1">
        <v>370</v>
      </c>
      <c r="F11" s="1">
        <v>1000</v>
      </c>
      <c r="G11" s="1">
        <v>0.37</v>
      </c>
      <c r="H11" s="1">
        <v>0.97509553300830099</v>
      </c>
      <c r="I11" s="1">
        <v>0.94530571747488501</v>
      </c>
      <c r="J11" s="1">
        <v>1</v>
      </c>
      <c r="K11" s="1">
        <v>1</v>
      </c>
      <c r="L11" s="1">
        <v>1</v>
      </c>
      <c r="M11" s="1">
        <v>1</v>
      </c>
      <c r="N11" s="1">
        <v>0.97</v>
      </c>
      <c r="O11" s="1">
        <v>0.93203883495145601</v>
      </c>
      <c r="P11" s="1">
        <v>1</v>
      </c>
      <c r="Q11" s="1">
        <v>0.95140138853175604</v>
      </c>
      <c r="R11" s="1">
        <v>0.89628410159924699</v>
      </c>
      <c r="S11" s="1">
        <v>1</v>
      </c>
      <c r="T11" s="1">
        <v>1</v>
      </c>
      <c r="U11" s="1">
        <v>1</v>
      </c>
      <c r="V11" s="1">
        <v>1</v>
      </c>
      <c r="W11" s="1">
        <v>0.37</v>
      </c>
      <c r="X11" s="1">
        <v>0.37</v>
      </c>
      <c r="Y11" s="1">
        <v>0.37</v>
      </c>
      <c r="Z11" s="1">
        <v>0.96065568591239003</v>
      </c>
      <c r="AA11" s="1">
        <v>0.91398664642328098</v>
      </c>
      <c r="AB11" s="1">
        <v>1</v>
      </c>
      <c r="AC11" s="1">
        <v>0.97509553300830099</v>
      </c>
      <c r="AD11" s="1">
        <v>0.94530571747488501</v>
      </c>
      <c r="AE11" s="1">
        <v>1</v>
      </c>
      <c r="AF11" s="1">
        <v>1</v>
      </c>
      <c r="AG11" s="1">
        <v>1</v>
      </c>
      <c r="AH11" s="1">
        <v>1</v>
      </c>
      <c r="AI11" s="1">
        <v>200</v>
      </c>
      <c r="AJ11" s="1">
        <v>103</v>
      </c>
      <c r="AK11" s="1">
        <v>97</v>
      </c>
      <c r="AL11" s="1">
        <v>100</v>
      </c>
      <c r="AM11" s="1">
        <v>0</v>
      </c>
      <c r="AN11" s="1">
        <v>0</v>
      </c>
      <c r="AO11" s="1">
        <v>0</v>
      </c>
      <c r="AP11" s="1">
        <v>0</v>
      </c>
      <c r="AQ11" s="1">
        <v>3</v>
      </c>
      <c r="AR11" s="1">
        <v>0</v>
      </c>
      <c r="AS11" s="1">
        <v>97</v>
      </c>
      <c r="AT11" s="1">
        <v>101</v>
      </c>
      <c r="AU11" s="1">
        <v>2</v>
      </c>
      <c r="AV11" s="1">
        <v>3</v>
      </c>
      <c r="AW11" s="1">
        <v>94</v>
      </c>
      <c r="AX11" s="1">
        <v>0.94993992791349602</v>
      </c>
      <c r="AY11" s="1">
        <v>0.89984977466199301</v>
      </c>
      <c r="AZ11" s="1">
        <v>0.98994368463394999</v>
      </c>
      <c r="BA11" s="1">
        <v>487.5</v>
      </c>
      <c r="BB11" s="1">
        <v>673.80499999999995</v>
      </c>
      <c r="BC11" s="1">
        <v>100</v>
      </c>
      <c r="BD11" s="1">
        <v>100</v>
      </c>
      <c r="BE11" s="1">
        <v>0.96378330735482398</v>
      </c>
      <c r="BF11" s="1">
        <v>1</v>
      </c>
      <c r="BG11" s="1">
        <v>0.91482394702572001</v>
      </c>
      <c r="BH11" s="1">
        <v>0.99377002846169404</v>
      </c>
      <c r="BI11" s="1">
        <v>0.96378330735482398</v>
      </c>
      <c r="BJ11" s="1">
        <v>0.91482394702572001</v>
      </c>
      <c r="BK11" s="1">
        <v>1</v>
      </c>
      <c r="BL11" s="1">
        <v>1</v>
      </c>
      <c r="BM11" s="1">
        <v>2</v>
      </c>
      <c r="BN11" s="8" t="s">
        <v>159</v>
      </c>
      <c r="BO11" s="8" t="s">
        <v>127</v>
      </c>
      <c r="BP11" s="8" t="s">
        <v>206</v>
      </c>
      <c r="BQ11" s="8" t="s">
        <v>89</v>
      </c>
      <c r="BR11" s="8" t="s">
        <v>86</v>
      </c>
      <c r="BS11" s="7">
        <v>0.37</v>
      </c>
      <c r="BT11" s="9" t="s">
        <v>213</v>
      </c>
      <c r="BU11" s="9" t="s">
        <v>229</v>
      </c>
      <c r="BV11" s="7">
        <v>1</v>
      </c>
      <c r="BW11" s="7">
        <v>0.95099999999999996</v>
      </c>
      <c r="BX11" s="7">
        <v>1</v>
      </c>
      <c r="BY11" s="7">
        <v>0.97499999999999998</v>
      </c>
      <c r="BZ11" s="7">
        <v>0.97499999999999998</v>
      </c>
      <c r="CA11" s="7">
        <v>0.96099999999999997</v>
      </c>
      <c r="CB11" s="7">
        <v>0.95</v>
      </c>
    </row>
    <row r="12" spans="1:80" x14ac:dyDescent="0.2">
      <c r="A12" s="1" t="s">
        <v>166</v>
      </c>
      <c r="B12" s="1" t="s">
        <v>81</v>
      </c>
      <c r="C12" s="1" t="s">
        <v>82</v>
      </c>
      <c r="D12" s="1" t="s">
        <v>89</v>
      </c>
      <c r="E12" s="1">
        <v>242</v>
      </c>
      <c r="F12" s="1">
        <v>963</v>
      </c>
      <c r="G12" s="1">
        <v>0.25129802699896198</v>
      </c>
      <c r="H12" s="1">
        <v>0.96701973342091596</v>
      </c>
      <c r="I12" s="1">
        <v>0.93464727123464098</v>
      </c>
      <c r="J12" s="1">
        <v>0.99295774647887303</v>
      </c>
      <c r="K12" s="1">
        <v>0.97333333333333305</v>
      </c>
      <c r="L12" s="1">
        <v>0.944827586206897</v>
      </c>
      <c r="M12" s="1">
        <v>0.99371069182389904</v>
      </c>
      <c r="N12" s="1">
        <v>0.98666666666666702</v>
      </c>
      <c r="O12" s="1">
        <v>0.965753424657534</v>
      </c>
      <c r="P12" s="1">
        <v>1</v>
      </c>
      <c r="Q12" s="1">
        <v>0.96078751291673503</v>
      </c>
      <c r="R12" s="1">
        <v>0.90510670648728198</v>
      </c>
      <c r="S12" s="1">
        <v>1</v>
      </c>
      <c r="T12" s="1">
        <v>0.99101006723875296</v>
      </c>
      <c r="U12" s="1">
        <v>0.98157847738444803</v>
      </c>
      <c r="V12" s="1">
        <v>0.99786669487566004</v>
      </c>
      <c r="W12" s="1">
        <v>0.25129802699896198</v>
      </c>
      <c r="X12" s="1">
        <v>0.25129802699896198</v>
      </c>
      <c r="Y12" s="1">
        <v>0.25129802699896198</v>
      </c>
      <c r="Z12" s="1">
        <v>0.95588999207506498</v>
      </c>
      <c r="AA12" s="1">
        <v>0.91259652928411295</v>
      </c>
      <c r="AB12" s="1">
        <v>0.99065984742616997</v>
      </c>
      <c r="AC12" s="1">
        <v>0.97577729264055701</v>
      </c>
      <c r="AD12" s="1">
        <v>0.94588710884387805</v>
      </c>
      <c r="AE12" s="1">
        <v>0.99762519258510496</v>
      </c>
      <c r="AF12" s="1">
        <v>0.99124221305944205</v>
      </c>
      <c r="AG12" s="1">
        <v>0.98144516600052201</v>
      </c>
      <c r="AH12" s="1">
        <v>0.99798008819073603</v>
      </c>
      <c r="AI12" s="1">
        <v>300</v>
      </c>
      <c r="AJ12" s="1">
        <v>148</v>
      </c>
      <c r="AK12" s="1">
        <v>152</v>
      </c>
      <c r="AL12" s="1">
        <v>146</v>
      </c>
      <c r="AM12" s="1">
        <v>0</v>
      </c>
      <c r="AN12" s="1">
        <v>4</v>
      </c>
      <c r="AO12" s="1">
        <v>0</v>
      </c>
      <c r="AP12" s="1">
        <v>0</v>
      </c>
      <c r="AQ12" s="1">
        <v>2</v>
      </c>
      <c r="AR12" s="1">
        <v>0</v>
      </c>
      <c r="AS12" s="1">
        <v>148</v>
      </c>
      <c r="AT12" s="1">
        <v>139</v>
      </c>
      <c r="AU12" s="1">
        <v>12</v>
      </c>
      <c r="AV12" s="1">
        <v>0</v>
      </c>
      <c r="AW12" s="1">
        <v>149</v>
      </c>
      <c r="AX12" s="1">
        <v>0.92003909199946698</v>
      </c>
      <c r="AY12" s="1">
        <v>0.87333333333333296</v>
      </c>
      <c r="AZ12" s="1">
        <v>0.96000888691401898</v>
      </c>
      <c r="BA12" s="1">
        <v>744.5</v>
      </c>
      <c r="BB12" s="1">
        <v>912.58</v>
      </c>
      <c r="BC12" s="1">
        <v>150</v>
      </c>
      <c r="BD12" s="1">
        <v>150</v>
      </c>
      <c r="BE12" s="1">
        <v>0.93313212332251105</v>
      </c>
      <c r="BF12" s="1">
        <v>0.99268745360199195</v>
      </c>
      <c r="BG12" s="1">
        <v>0.95266698050366405</v>
      </c>
      <c r="BH12" s="1">
        <v>0.99838117297016005</v>
      </c>
      <c r="BI12" s="1">
        <v>0.93313212332251105</v>
      </c>
      <c r="BJ12" s="1">
        <v>0.95266698050366405</v>
      </c>
      <c r="BK12" s="1">
        <v>0.99371069182389904</v>
      </c>
      <c r="BL12" s="1">
        <v>1</v>
      </c>
      <c r="BM12" s="1">
        <v>3</v>
      </c>
      <c r="BN12" s="4" t="s">
        <v>167</v>
      </c>
      <c r="BO12" s="4" t="s">
        <v>85</v>
      </c>
      <c r="BP12" s="4" t="s">
        <v>82</v>
      </c>
      <c r="BQ12" s="4" t="s">
        <v>89</v>
      </c>
      <c r="BR12" s="4" t="s">
        <v>86</v>
      </c>
      <c r="BS12" s="5">
        <v>0.251</v>
      </c>
      <c r="BT12" s="6" t="s">
        <v>168</v>
      </c>
      <c r="BU12" s="6" t="s">
        <v>91</v>
      </c>
      <c r="BV12" s="7">
        <v>0.99099999999999999</v>
      </c>
      <c r="BW12" s="7">
        <v>0.96099999999999997</v>
      </c>
      <c r="BX12" s="7">
        <v>0.99099999999999999</v>
      </c>
      <c r="BY12" s="7">
        <v>0.96699999999999997</v>
      </c>
      <c r="BZ12" s="7">
        <v>0.97599999999999998</v>
      </c>
      <c r="CA12" s="7">
        <v>0.95599999999999996</v>
      </c>
      <c r="CB12" s="7">
        <v>0.92</v>
      </c>
    </row>
    <row r="13" spans="1:80" x14ac:dyDescent="0.2">
      <c r="A13" s="1" t="s">
        <v>166</v>
      </c>
      <c r="B13" s="1" t="s">
        <v>81</v>
      </c>
      <c r="C13" s="1" t="s">
        <v>206</v>
      </c>
      <c r="D13" s="1" t="s">
        <v>89</v>
      </c>
      <c r="E13" s="1">
        <v>310</v>
      </c>
      <c r="F13" s="1">
        <v>1000</v>
      </c>
      <c r="G13" s="1">
        <v>0.31</v>
      </c>
      <c r="H13" s="1">
        <v>0.968592351505289</v>
      </c>
      <c r="I13" s="1">
        <v>0.93661290515040196</v>
      </c>
      <c r="J13" s="1">
        <v>0.99470899470899499</v>
      </c>
      <c r="K13" s="1">
        <v>0.96</v>
      </c>
      <c r="L13" s="1">
        <v>0.91743119266054995</v>
      </c>
      <c r="M13" s="1">
        <v>0.99065420560747697</v>
      </c>
      <c r="N13" s="1">
        <v>0.99</v>
      </c>
      <c r="O13" s="1">
        <v>0.96739130434782605</v>
      </c>
      <c r="P13" s="1">
        <v>1</v>
      </c>
      <c r="Q13" s="1">
        <v>0.97733990147783201</v>
      </c>
      <c r="R13" s="1">
        <v>0.92976228867820698</v>
      </c>
      <c r="S13" s="1">
        <v>1</v>
      </c>
      <c r="T13" s="1">
        <v>0.98217109992810903</v>
      </c>
      <c r="U13" s="1">
        <v>0.96384328595948898</v>
      </c>
      <c r="V13" s="1">
        <v>0.99577944179714095</v>
      </c>
      <c r="W13" s="1">
        <v>0.31</v>
      </c>
      <c r="X13" s="1">
        <v>0.31</v>
      </c>
      <c r="Y13" s="1">
        <v>0.31</v>
      </c>
      <c r="Z13" s="1">
        <v>0.95474365739482403</v>
      </c>
      <c r="AA13" s="1">
        <v>0.90816945961932505</v>
      </c>
      <c r="AB13" s="1">
        <v>0.99237909941267299</v>
      </c>
      <c r="AC13" s="1">
        <v>0.97968088070472203</v>
      </c>
      <c r="AD13" s="1">
        <v>0.95302556531350002</v>
      </c>
      <c r="AE13" s="1">
        <v>0.99761593478428001</v>
      </c>
      <c r="AF13" s="1">
        <v>0.98203310134658295</v>
      </c>
      <c r="AG13" s="1">
        <v>0.96186612620775602</v>
      </c>
      <c r="AH13" s="1">
        <v>0.99587892996559602</v>
      </c>
      <c r="AI13" s="1">
        <v>200</v>
      </c>
      <c r="AJ13" s="1">
        <v>97</v>
      </c>
      <c r="AK13" s="1">
        <v>103</v>
      </c>
      <c r="AL13" s="1">
        <v>96</v>
      </c>
      <c r="AM13" s="1">
        <v>0</v>
      </c>
      <c r="AN13" s="1">
        <v>4</v>
      </c>
      <c r="AO13" s="1">
        <v>0</v>
      </c>
      <c r="AP13" s="1">
        <v>0</v>
      </c>
      <c r="AQ13" s="1">
        <v>1</v>
      </c>
      <c r="AR13" s="1">
        <v>0</v>
      </c>
      <c r="AS13" s="1">
        <v>99</v>
      </c>
      <c r="AT13" s="1">
        <v>93</v>
      </c>
      <c r="AU13" s="1">
        <v>5</v>
      </c>
      <c r="AV13" s="1">
        <v>0</v>
      </c>
      <c r="AW13" s="1">
        <v>102</v>
      </c>
      <c r="AX13" s="1">
        <v>0.94992990186260795</v>
      </c>
      <c r="AY13" s="1">
        <v>0.90015974440894597</v>
      </c>
      <c r="AZ13" s="1">
        <v>0.98995782285599498</v>
      </c>
      <c r="BA13" s="1">
        <v>622</v>
      </c>
      <c r="BB13" s="1">
        <v>813.72</v>
      </c>
      <c r="BC13" s="1">
        <v>100</v>
      </c>
      <c r="BD13" s="1">
        <v>100</v>
      </c>
      <c r="BE13" s="1">
        <v>0.90074284328734</v>
      </c>
      <c r="BF13" s="1">
        <v>0.98899550601381203</v>
      </c>
      <c r="BG13" s="1">
        <v>0.94554061460791905</v>
      </c>
      <c r="BH13" s="1">
        <v>0.99974685396702301</v>
      </c>
      <c r="BI13" s="1">
        <v>0.90074284328734</v>
      </c>
      <c r="BJ13" s="1">
        <v>0.94554061460791905</v>
      </c>
      <c r="BK13" s="1">
        <v>0.99065420560747697</v>
      </c>
      <c r="BL13" s="1">
        <v>1</v>
      </c>
      <c r="BM13" s="1">
        <v>3</v>
      </c>
      <c r="BN13" s="4" t="s">
        <v>167</v>
      </c>
      <c r="BO13" s="4" t="s">
        <v>85</v>
      </c>
      <c r="BP13" s="4" t="s">
        <v>206</v>
      </c>
      <c r="BQ13" s="4" t="s">
        <v>89</v>
      </c>
      <c r="BR13" s="4" t="s">
        <v>86</v>
      </c>
      <c r="BS13" s="5">
        <v>0.31</v>
      </c>
      <c r="BT13" s="6" t="s">
        <v>209</v>
      </c>
      <c r="BU13" s="6" t="s">
        <v>186</v>
      </c>
      <c r="BV13" s="7">
        <v>0.98199999999999998</v>
      </c>
      <c r="BW13" s="7">
        <v>0.97699999999999998</v>
      </c>
      <c r="BX13" s="7">
        <v>0.98199999999999998</v>
      </c>
      <c r="BY13" s="7">
        <v>0.96899999999999997</v>
      </c>
      <c r="BZ13" s="7">
        <v>0.98</v>
      </c>
      <c r="CA13" s="7">
        <v>0.95499999999999996</v>
      </c>
      <c r="CB13" s="7">
        <v>0.95</v>
      </c>
    </row>
    <row r="14" spans="1:80" x14ac:dyDescent="0.2">
      <c r="A14" s="1" t="s">
        <v>166</v>
      </c>
      <c r="B14" s="1" t="s">
        <v>81</v>
      </c>
      <c r="C14" s="1" t="s">
        <v>82</v>
      </c>
      <c r="D14" s="1" t="s">
        <v>99</v>
      </c>
      <c r="E14" s="1" t="s">
        <v>93</v>
      </c>
      <c r="F14" s="1" t="s">
        <v>93</v>
      </c>
      <c r="G14" s="1">
        <v>0.24490909410915701</v>
      </c>
      <c r="H14" s="1">
        <v>0.97475274556810898</v>
      </c>
      <c r="I14" s="1">
        <v>0.94322277798666498</v>
      </c>
      <c r="J14" s="1">
        <v>0.99595141700404899</v>
      </c>
      <c r="K14" s="1">
        <v>0.99130434782608701</v>
      </c>
      <c r="L14" s="1">
        <v>0.97196261682243001</v>
      </c>
      <c r="M14" s="1">
        <v>1</v>
      </c>
      <c r="N14" s="1">
        <v>0.98616470133161505</v>
      </c>
      <c r="O14" s="1">
        <v>0.96546849242654398</v>
      </c>
      <c r="P14" s="1">
        <v>1</v>
      </c>
      <c r="Q14" s="1">
        <v>0.95874478357396697</v>
      </c>
      <c r="R14" s="1">
        <v>0.90219075654565695</v>
      </c>
      <c r="S14" s="1">
        <v>1</v>
      </c>
      <c r="T14" s="1">
        <v>0.99714820639498303</v>
      </c>
      <c r="U14" s="1">
        <v>0.99084662421988301</v>
      </c>
      <c r="V14" s="1">
        <v>1</v>
      </c>
      <c r="W14" s="1">
        <v>0.24490909410915701</v>
      </c>
      <c r="X14" s="1">
        <v>0.236996513267313</v>
      </c>
      <c r="Y14" s="1">
        <v>0.25129802699896198</v>
      </c>
      <c r="Z14" s="1">
        <v>0.96662082121246595</v>
      </c>
      <c r="AA14" s="1">
        <v>0.92569866822014502</v>
      </c>
      <c r="AB14" s="1">
        <v>0.99464268307007497</v>
      </c>
      <c r="AC14" s="1">
        <v>0.97763264866131006</v>
      </c>
      <c r="AD14" s="1">
        <v>0.94736498216265297</v>
      </c>
      <c r="AE14" s="1">
        <v>0.99858765069174604</v>
      </c>
      <c r="AF14" s="1">
        <v>0.99727967493699998</v>
      </c>
      <c r="AG14" s="1">
        <v>0.99105780448306102</v>
      </c>
      <c r="AH14" s="1">
        <v>1</v>
      </c>
      <c r="AI14" s="1">
        <v>239</v>
      </c>
      <c r="AJ14" s="1">
        <v>117</v>
      </c>
      <c r="AK14" s="1">
        <v>122</v>
      </c>
      <c r="AL14" s="1">
        <v>114</v>
      </c>
      <c r="AM14" s="1">
        <v>0</v>
      </c>
      <c r="AN14" s="1">
        <v>1</v>
      </c>
      <c r="AO14" s="1">
        <v>0</v>
      </c>
      <c r="AP14" s="1">
        <v>2</v>
      </c>
      <c r="AQ14" s="1">
        <v>1</v>
      </c>
      <c r="AR14" s="1">
        <v>1</v>
      </c>
      <c r="AS14" s="1">
        <v>120</v>
      </c>
      <c r="AT14" s="1">
        <v>114</v>
      </c>
      <c r="AU14" s="1">
        <v>4</v>
      </c>
      <c r="AV14" s="1">
        <v>0</v>
      </c>
      <c r="AW14" s="1">
        <v>121</v>
      </c>
      <c r="AX14" s="1">
        <v>0.96650784753363195</v>
      </c>
      <c r="AY14" s="1">
        <v>0.93260961511349205</v>
      </c>
      <c r="AZ14" s="1">
        <v>0.991631359641444</v>
      </c>
      <c r="BA14" s="1">
        <v>4577</v>
      </c>
      <c r="BB14" s="1">
        <v>4849.5690376569</v>
      </c>
      <c r="BC14" s="1">
        <v>115</v>
      </c>
      <c r="BD14" s="1">
        <v>124</v>
      </c>
      <c r="BE14" s="1">
        <v>0.95250305311500505</v>
      </c>
      <c r="BF14" s="1">
        <v>0.99977986938026397</v>
      </c>
      <c r="BG14" s="1">
        <v>0.94295102786135299</v>
      </c>
      <c r="BH14" s="1">
        <v>0.99804069584308297</v>
      </c>
      <c r="BI14" s="1">
        <v>0.95250305311500505</v>
      </c>
      <c r="BJ14" s="1">
        <v>0.94295102786135299</v>
      </c>
      <c r="BK14" s="1">
        <v>1</v>
      </c>
      <c r="BL14" s="1">
        <v>1</v>
      </c>
      <c r="BM14" s="1">
        <v>3</v>
      </c>
      <c r="BN14" s="4" t="s">
        <v>167</v>
      </c>
      <c r="BO14" s="4" t="s">
        <v>85</v>
      </c>
      <c r="BP14" s="4" t="s">
        <v>82</v>
      </c>
      <c r="BQ14" s="4" t="s">
        <v>99</v>
      </c>
      <c r="BR14" s="4" t="s">
        <v>100</v>
      </c>
      <c r="BS14" s="5">
        <v>0.245</v>
      </c>
      <c r="BT14" s="6" t="s">
        <v>180</v>
      </c>
      <c r="BU14" s="6" t="s">
        <v>194</v>
      </c>
      <c r="BV14" s="7">
        <v>0.997</v>
      </c>
      <c r="BW14" s="7">
        <v>0.95899999999999996</v>
      </c>
      <c r="BX14" s="7">
        <v>0.997</v>
      </c>
      <c r="BY14" s="7">
        <v>0.97499999999999998</v>
      </c>
      <c r="BZ14" s="7">
        <v>0.97799999999999998</v>
      </c>
      <c r="CA14" s="7">
        <v>0.96699999999999997</v>
      </c>
      <c r="CB14" s="7">
        <v>0.96699999999999997</v>
      </c>
    </row>
    <row r="15" spans="1:80" ht="17" customHeight="1" x14ac:dyDescent="0.2">
      <c r="A15" s="1" t="s">
        <v>166</v>
      </c>
      <c r="B15" s="1" t="s">
        <v>126</v>
      </c>
      <c r="C15" s="1" t="s">
        <v>82</v>
      </c>
      <c r="D15" s="1" t="s">
        <v>89</v>
      </c>
      <c r="E15" s="1">
        <v>750</v>
      </c>
      <c r="F15" s="1">
        <v>838</v>
      </c>
      <c r="G15" s="1">
        <v>0.89498806682577603</v>
      </c>
      <c r="H15" s="1">
        <v>0.99172667655415203</v>
      </c>
      <c r="I15" s="1">
        <v>0.98094423049111301</v>
      </c>
      <c r="J15" s="1">
        <v>0.99921838917113703</v>
      </c>
      <c r="K15" s="1">
        <v>0.98666666666666702</v>
      </c>
      <c r="L15" s="1">
        <v>0.965753424657534</v>
      </c>
      <c r="M15" s="1">
        <v>1</v>
      </c>
      <c r="N15" s="1">
        <v>0.97333333333333305</v>
      </c>
      <c r="O15" s="1">
        <v>0.94482652845356496</v>
      </c>
      <c r="P15" s="1">
        <v>0.99378881987577605</v>
      </c>
      <c r="Q15" s="1">
        <v>0.99683885336590305</v>
      </c>
      <c r="R15" s="1">
        <v>0.99344261343209395</v>
      </c>
      <c r="S15" s="1">
        <v>0.99926017280667201</v>
      </c>
      <c r="T15" s="1">
        <v>0.89545581265681595</v>
      </c>
      <c r="U15" s="1">
        <v>0.76941877219162402</v>
      </c>
      <c r="V15" s="1">
        <v>1</v>
      </c>
      <c r="W15" s="1">
        <v>0.89498806682577603</v>
      </c>
      <c r="X15" s="1">
        <v>0.89498806682577603</v>
      </c>
      <c r="Y15" s="1">
        <v>0.89498806682577603</v>
      </c>
      <c r="Z15" s="1">
        <v>0.92552843250859196</v>
      </c>
      <c r="AA15" s="1">
        <v>0.84648377827406096</v>
      </c>
      <c r="AB15" s="1">
        <v>0.99253488229016196</v>
      </c>
      <c r="AC15" s="1">
        <v>0.94429638772856295</v>
      </c>
      <c r="AD15" s="1">
        <v>0.86810169857789099</v>
      </c>
      <c r="AE15" s="1">
        <v>0.99921838917113703</v>
      </c>
      <c r="AF15" s="1">
        <v>0.89701551889165598</v>
      </c>
      <c r="AG15" s="1">
        <v>0.76861770956272002</v>
      </c>
      <c r="AH15" s="1">
        <v>1</v>
      </c>
      <c r="AI15" s="1">
        <v>300</v>
      </c>
      <c r="AJ15" s="1">
        <v>152</v>
      </c>
      <c r="AK15" s="1">
        <v>148</v>
      </c>
      <c r="AL15" s="1">
        <v>148</v>
      </c>
      <c r="AM15" s="1">
        <v>0</v>
      </c>
      <c r="AN15" s="1">
        <v>2</v>
      </c>
      <c r="AO15" s="1">
        <v>0</v>
      </c>
      <c r="AP15" s="1">
        <v>0</v>
      </c>
      <c r="AQ15" s="1">
        <v>4</v>
      </c>
      <c r="AR15" s="1">
        <v>0</v>
      </c>
      <c r="AS15" s="1">
        <v>146</v>
      </c>
      <c r="AT15" s="1">
        <v>148</v>
      </c>
      <c r="AU15" s="1">
        <v>5</v>
      </c>
      <c r="AV15" s="1">
        <v>2</v>
      </c>
      <c r="AW15" s="1">
        <v>145</v>
      </c>
      <c r="AX15" s="1">
        <v>0.95333333333333303</v>
      </c>
      <c r="AY15" s="1">
        <v>0.91897339285186597</v>
      </c>
      <c r="AZ15" s="1">
        <v>0.98653200164692301</v>
      </c>
      <c r="BA15" s="1">
        <v>363.5</v>
      </c>
      <c r="BB15" s="1">
        <v>587.79</v>
      </c>
      <c r="BC15" s="1">
        <v>150</v>
      </c>
      <c r="BD15" s="1">
        <v>150</v>
      </c>
      <c r="BE15" s="1">
        <v>0.95266698050366405</v>
      </c>
      <c r="BF15" s="1">
        <v>0.99838117297016005</v>
      </c>
      <c r="BG15" s="1">
        <v>0.93313212332251105</v>
      </c>
      <c r="BH15" s="1">
        <v>0.99268745360199195</v>
      </c>
      <c r="BI15" s="1">
        <v>0.95266698050366405</v>
      </c>
      <c r="BJ15" s="1">
        <v>0.93313212332251105</v>
      </c>
      <c r="BK15" s="1">
        <v>1</v>
      </c>
      <c r="BL15" s="1">
        <v>0.99378881987577605</v>
      </c>
      <c r="BM15" s="1">
        <v>3</v>
      </c>
      <c r="BN15" s="4" t="s">
        <v>167</v>
      </c>
      <c r="BO15" s="4" t="s">
        <v>127</v>
      </c>
      <c r="BP15" s="4" t="s">
        <v>82</v>
      </c>
      <c r="BQ15" s="4" t="s">
        <v>89</v>
      </c>
      <c r="BR15" s="4" t="s">
        <v>86</v>
      </c>
      <c r="BS15" s="5">
        <v>0.89500000000000002</v>
      </c>
      <c r="BT15" s="6" t="s">
        <v>91</v>
      </c>
      <c r="BU15" s="6" t="s">
        <v>168</v>
      </c>
      <c r="BV15" s="7">
        <v>0.89700000000000002</v>
      </c>
      <c r="BW15" s="7">
        <v>0.997</v>
      </c>
      <c r="BX15" s="7">
        <v>0.89500000000000002</v>
      </c>
      <c r="BY15" s="7">
        <v>0.99199999999999999</v>
      </c>
      <c r="BZ15" s="7">
        <v>0.94399999999999995</v>
      </c>
      <c r="CA15" s="7">
        <v>0.92600000000000005</v>
      </c>
      <c r="CB15" s="7">
        <v>0.95299999999999996</v>
      </c>
    </row>
    <row r="16" spans="1:80" x14ac:dyDescent="0.2">
      <c r="A16" s="1" t="s">
        <v>166</v>
      </c>
      <c r="B16" s="1" t="s">
        <v>126</v>
      </c>
      <c r="C16" s="1" t="s">
        <v>206</v>
      </c>
      <c r="D16" s="1" t="s">
        <v>89</v>
      </c>
      <c r="E16" s="1">
        <v>875</v>
      </c>
      <c r="F16" s="1">
        <v>1000</v>
      </c>
      <c r="G16" s="1">
        <v>0.875</v>
      </c>
      <c r="H16" s="1">
        <v>0.99354838709677396</v>
      </c>
      <c r="I16" s="1">
        <v>0.98176679599125005</v>
      </c>
      <c r="J16" s="1">
        <v>1</v>
      </c>
      <c r="K16" s="1">
        <v>0.99</v>
      </c>
      <c r="L16" s="1">
        <v>0.96739130434782605</v>
      </c>
      <c r="M16" s="1">
        <v>1</v>
      </c>
      <c r="N16" s="1">
        <v>0.98</v>
      </c>
      <c r="O16" s="1">
        <v>0.94845360824742297</v>
      </c>
      <c r="P16" s="1">
        <v>1</v>
      </c>
      <c r="Q16" s="1">
        <v>0.99712230215827302</v>
      </c>
      <c r="R16" s="1">
        <v>0.99269005847953196</v>
      </c>
      <c r="S16" s="1">
        <v>1</v>
      </c>
      <c r="T16" s="1">
        <v>0.93333333333333302</v>
      </c>
      <c r="U16" s="1">
        <v>0.81109185441941101</v>
      </c>
      <c r="V16" s="1">
        <v>1</v>
      </c>
      <c r="W16" s="1">
        <v>0.875</v>
      </c>
      <c r="X16" s="1">
        <v>0.875</v>
      </c>
      <c r="Y16" s="1">
        <v>0.875</v>
      </c>
      <c r="Z16" s="1">
        <v>0.95002208733631999</v>
      </c>
      <c r="AA16" s="1">
        <v>0.87143473435513297</v>
      </c>
      <c r="AB16" s="1">
        <v>1</v>
      </c>
      <c r="AC16" s="1">
        <v>0.96460404739755101</v>
      </c>
      <c r="AD16" s="1">
        <v>0.893636588647722</v>
      </c>
      <c r="AE16" s="1">
        <v>1</v>
      </c>
      <c r="AF16" s="1">
        <v>0.93413978494623695</v>
      </c>
      <c r="AG16" s="1">
        <v>0.80951238241505097</v>
      </c>
      <c r="AH16" s="1">
        <v>1</v>
      </c>
      <c r="AI16" s="1">
        <v>200</v>
      </c>
      <c r="AJ16" s="1">
        <v>101</v>
      </c>
      <c r="AK16" s="1">
        <v>99</v>
      </c>
      <c r="AL16" s="1">
        <v>99</v>
      </c>
      <c r="AM16" s="1">
        <v>0</v>
      </c>
      <c r="AN16" s="1">
        <v>1</v>
      </c>
      <c r="AO16" s="1">
        <v>0</v>
      </c>
      <c r="AP16" s="1">
        <v>0</v>
      </c>
      <c r="AQ16" s="1">
        <v>2</v>
      </c>
      <c r="AR16" s="1">
        <v>0</v>
      </c>
      <c r="AS16" s="1">
        <v>98</v>
      </c>
      <c r="AT16" s="1">
        <v>95</v>
      </c>
      <c r="AU16" s="1">
        <v>8</v>
      </c>
      <c r="AV16" s="1">
        <v>0</v>
      </c>
      <c r="AW16" s="1">
        <v>97</v>
      </c>
      <c r="AX16" s="1">
        <v>0.92011982026959604</v>
      </c>
      <c r="AY16" s="1">
        <v>0.86055776892430302</v>
      </c>
      <c r="AZ16" s="1">
        <v>0.96994590262472402</v>
      </c>
      <c r="BA16" s="1">
        <v>328</v>
      </c>
      <c r="BB16" s="1">
        <v>537.63</v>
      </c>
      <c r="BC16" s="1">
        <v>100</v>
      </c>
      <c r="BD16" s="1">
        <v>100</v>
      </c>
      <c r="BE16" s="1">
        <v>0.94554061460791905</v>
      </c>
      <c r="BF16" s="1">
        <v>0.99974685396702301</v>
      </c>
      <c r="BG16" s="1">
        <v>0.92961606752893</v>
      </c>
      <c r="BH16" s="1">
        <v>0.99756866317605697</v>
      </c>
      <c r="BI16" s="1">
        <v>0.94554061460791905</v>
      </c>
      <c r="BJ16" s="1">
        <v>0.92961606752893</v>
      </c>
      <c r="BK16" s="1">
        <v>1</v>
      </c>
      <c r="BL16" s="1">
        <v>1</v>
      </c>
      <c r="BM16" s="1">
        <v>3</v>
      </c>
      <c r="BN16" s="4" t="s">
        <v>167</v>
      </c>
      <c r="BO16" s="4" t="s">
        <v>127</v>
      </c>
      <c r="BP16" s="4" t="s">
        <v>206</v>
      </c>
      <c r="BQ16" s="4" t="s">
        <v>89</v>
      </c>
      <c r="BR16" s="4" t="s">
        <v>86</v>
      </c>
      <c r="BS16" s="5">
        <v>0.875</v>
      </c>
      <c r="BT16" s="6" t="s">
        <v>186</v>
      </c>
      <c r="BU16" s="6" t="s">
        <v>200</v>
      </c>
      <c r="BV16" s="7">
        <v>0.93400000000000005</v>
      </c>
      <c r="BW16" s="7">
        <v>0.997</v>
      </c>
      <c r="BX16" s="7">
        <v>0.93300000000000005</v>
      </c>
      <c r="BY16" s="7">
        <v>0.99399999999999999</v>
      </c>
      <c r="BZ16" s="7">
        <v>0.96499999999999997</v>
      </c>
      <c r="CA16" s="7">
        <v>0.95</v>
      </c>
      <c r="CB16" s="7">
        <v>0.92</v>
      </c>
    </row>
    <row r="17" spans="1:80" x14ac:dyDescent="0.2">
      <c r="A17" s="1" t="s">
        <v>139</v>
      </c>
      <c r="B17" s="1" t="s">
        <v>81</v>
      </c>
      <c r="C17" s="1" t="s">
        <v>82</v>
      </c>
      <c r="D17" s="1" t="s">
        <v>89</v>
      </c>
      <c r="E17" s="1">
        <v>333</v>
      </c>
      <c r="F17" s="1">
        <v>14379</v>
      </c>
      <c r="G17" s="1">
        <v>2.3158773210932598E-2</v>
      </c>
      <c r="H17" s="1">
        <v>0.76878679441302</v>
      </c>
      <c r="I17" s="1">
        <v>0.58183185170673901</v>
      </c>
      <c r="J17" s="1">
        <v>0.91780821917808197</v>
      </c>
      <c r="K17" s="1">
        <v>0.8</v>
      </c>
      <c r="L17" s="1">
        <v>0.732918191100145</v>
      </c>
      <c r="M17" s="1">
        <v>0.86274509803921595</v>
      </c>
      <c r="N17" s="1">
        <v>0.99333333333333296</v>
      </c>
      <c r="O17" s="1">
        <v>0.97872340425531901</v>
      </c>
      <c r="P17" s="1">
        <v>1</v>
      </c>
      <c r="Q17" s="1">
        <v>0.73991778691256405</v>
      </c>
      <c r="R17" s="1">
        <v>0.465272332986502</v>
      </c>
      <c r="S17" s="1">
        <v>1</v>
      </c>
      <c r="T17" s="1">
        <v>0.99524929096024195</v>
      </c>
      <c r="U17" s="1">
        <v>0.99365919295323701</v>
      </c>
      <c r="V17" s="1">
        <v>0.99673439721096402</v>
      </c>
      <c r="W17" s="1">
        <v>2.3158773210932598E-2</v>
      </c>
      <c r="X17" s="1">
        <v>2.3158773210932598E-2</v>
      </c>
      <c r="Y17" s="1">
        <v>2.3158773210932598E-2</v>
      </c>
      <c r="Z17" s="1">
        <v>0.76369663377925101</v>
      </c>
      <c r="AA17" s="1">
        <v>0.59059406846853701</v>
      </c>
      <c r="AB17" s="1">
        <v>0.91927039188312698</v>
      </c>
      <c r="AC17" s="1">
        <v>0.848937166177133</v>
      </c>
      <c r="AD17" s="1">
        <v>0.63452312565586999</v>
      </c>
      <c r="AE17" s="1">
        <v>0.99788140984858098</v>
      </c>
      <c r="AF17" s="1">
        <v>0.995633689372183</v>
      </c>
      <c r="AG17" s="1">
        <v>0.99215935579571901</v>
      </c>
      <c r="AH17" s="1">
        <v>0.99769711469279398</v>
      </c>
      <c r="AI17" s="1">
        <v>300</v>
      </c>
      <c r="AJ17" s="1">
        <v>121</v>
      </c>
      <c r="AK17" s="1">
        <v>179</v>
      </c>
      <c r="AL17" s="1">
        <v>120</v>
      </c>
      <c r="AM17" s="1">
        <v>0</v>
      </c>
      <c r="AN17" s="1">
        <v>30</v>
      </c>
      <c r="AO17" s="1">
        <v>0</v>
      </c>
      <c r="AP17" s="1">
        <v>0</v>
      </c>
      <c r="AQ17" s="1">
        <v>1</v>
      </c>
      <c r="AR17" s="1">
        <v>0</v>
      </c>
      <c r="AS17" s="1">
        <v>149</v>
      </c>
      <c r="AT17" s="1">
        <v>117</v>
      </c>
      <c r="AU17" s="1">
        <v>3</v>
      </c>
      <c r="AV17" s="1">
        <v>7</v>
      </c>
      <c r="AW17" s="1">
        <v>173</v>
      </c>
      <c r="AX17" s="1">
        <v>0.93093922651933703</v>
      </c>
      <c r="AY17" s="1">
        <v>0.88491637219827202</v>
      </c>
      <c r="AZ17" s="1">
        <v>0.97189037245256504</v>
      </c>
      <c r="BA17" s="1">
        <v>864.5</v>
      </c>
      <c r="BB17" s="1">
        <v>999.15</v>
      </c>
      <c r="BC17" s="1">
        <v>150</v>
      </c>
      <c r="BD17" s="1">
        <v>150</v>
      </c>
      <c r="BE17" s="1">
        <v>0.72696378220907298</v>
      </c>
      <c r="BF17" s="1">
        <v>0.86080600077634195</v>
      </c>
      <c r="BG17" s="1">
        <v>0.96341683225941999</v>
      </c>
      <c r="BH17" s="1">
        <v>0.99983122885689002</v>
      </c>
      <c r="BI17" s="1">
        <v>0.72696378220907298</v>
      </c>
      <c r="BJ17" s="1">
        <v>0.96341683225941999</v>
      </c>
      <c r="BK17" s="1">
        <v>0.86274509803921595</v>
      </c>
      <c r="BL17" s="1">
        <v>1</v>
      </c>
      <c r="BM17" s="1">
        <v>4</v>
      </c>
      <c r="BN17" s="8" t="s">
        <v>140</v>
      </c>
      <c r="BO17" s="8" t="s">
        <v>85</v>
      </c>
      <c r="BP17" s="8" t="s">
        <v>82</v>
      </c>
      <c r="BQ17" s="8" t="s">
        <v>89</v>
      </c>
      <c r="BR17" s="8" t="s">
        <v>86</v>
      </c>
      <c r="BS17" s="7">
        <v>2.3E-2</v>
      </c>
      <c r="BT17" s="9" t="s">
        <v>142</v>
      </c>
      <c r="BU17" s="9" t="s">
        <v>138</v>
      </c>
      <c r="BV17" s="7">
        <v>0.996</v>
      </c>
      <c r="BW17" s="7">
        <v>0.74</v>
      </c>
      <c r="BX17" s="7">
        <v>0.995</v>
      </c>
      <c r="BY17" s="7">
        <v>0.76900000000000002</v>
      </c>
      <c r="BZ17" s="7">
        <v>0.84899999999999998</v>
      </c>
      <c r="CA17" s="7">
        <v>0.76400000000000001</v>
      </c>
      <c r="CB17" s="7">
        <v>0.93100000000000005</v>
      </c>
    </row>
    <row r="18" spans="1:80" x14ac:dyDescent="0.2">
      <c r="A18" s="1" t="s">
        <v>139</v>
      </c>
      <c r="B18" s="1" t="s">
        <v>81</v>
      </c>
      <c r="C18" s="1" t="s">
        <v>206</v>
      </c>
      <c r="D18" s="1" t="s">
        <v>89</v>
      </c>
      <c r="E18" s="1">
        <v>1577</v>
      </c>
      <c r="F18" s="1">
        <v>65453</v>
      </c>
      <c r="G18" s="1">
        <v>2.40936244327991E-2</v>
      </c>
      <c r="H18" s="1">
        <v>0.84393063583814998</v>
      </c>
      <c r="I18" s="1">
        <v>0.78160919540229901</v>
      </c>
      <c r="J18" s="1">
        <v>0.89795918367346905</v>
      </c>
      <c r="K18" s="1">
        <v>0.73</v>
      </c>
      <c r="L18" s="1">
        <v>0.64150943396226401</v>
      </c>
      <c r="M18" s="1">
        <v>0.81481481481481499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0.99337825587747997</v>
      </c>
      <c r="U18" s="1">
        <v>0.99122706594940402</v>
      </c>
      <c r="V18" s="1">
        <v>0.99544887064460996</v>
      </c>
      <c r="W18" s="1">
        <v>2.40936244327991E-2</v>
      </c>
      <c r="X18" s="1">
        <v>2.40936244327991E-2</v>
      </c>
      <c r="Y18" s="1">
        <v>2.40936244327991E-2</v>
      </c>
      <c r="Z18" s="1">
        <v>0.85156686571904605</v>
      </c>
      <c r="AA18" s="1">
        <v>0.79742179177978201</v>
      </c>
      <c r="AB18" s="1">
        <v>0.90061450531950904</v>
      </c>
      <c r="AC18" s="1">
        <v>0.99545507673340605</v>
      </c>
      <c r="AD18" s="1">
        <v>0.99314901392033095</v>
      </c>
      <c r="AE18" s="1">
        <v>0.99720234215586101</v>
      </c>
      <c r="AF18" s="1">
        <v>0.99095127920847104</v>
      </c>
      <c r="AG18" s="1">
        <v>0.98639126112128195</v>
      </c>
      <c r="AH18" s="1">
        <v>0.99442029441880797</v>
      </c>
      <c r="AI18" s="1">
        <v>200</v>
      </c>
      <c r="AJ18" s="1">
        <v>73</v>
      </c>
      <c r="AK18" s="1">
        <v>127</v>
      </c>
      <c r="AL18" s="1">
        <v>73</v>
      </c>
      <c r="AM18" s="1">
        <v>0</v>
      </c>
      <c r="AN18" s="1">
        <v>27</v>
      </c>
      <c r="AO18" s="1">
        <v>0</v>
      </c>
      <c r="AP18" s="1">
        <v>0</v>
      </c>
      <c r="AQ18" s="1">
        <v>0</v>
      </c>
      <c r="AR18" s="1">
        <v>0</v>
      </c>
      <c r="AS18" s="1">
        <v>100</v>
      </c>
      <c r="AT18" s="1">
        <v>68</v>
      </c>
      <c r="AU18" s="1">
        <v>17</v>
      </c>
      <c r="AV18" s="1">
        <v>4</v>
      </c>
      <c r="AW18" s="1">
        <v>111</v>
      </c>
      <c r="AX18" s="1">
        <v>0.78079331941544905</v>
      </c>
      <c r="AY18" s="1">
        <v>0.69047594481457497</v>
      </c>
      <c r="AZ18" s="1">
        <v>0.865145228215768</v>
      </c>
      <c r="BA18" s="1">
        <v>856</v>
      </c>
      <c r="BB18" s="1">
        <v>1004.34</v>
      </c>
      <c r="BC18" s="1">
        <v>100</v>
      </c>
      <c r="BD18" s="1">
        <v>100</v>
      </c>
      <c r="BE18" s="1">
        <v>0.63198372709102502</v>
      </c>
      <c r="BF18" s="1">
        <v>0.813933577709259</v>
      </c>
      <c r="BG18" s="1">
        <v>0.96378330735482398</v>
      </c>
      <c r="BH18" s="1">
        <v>1</v>
      </c>
      <c r="BI18" s="1">
        <v>0.63198372709102502</v>
      </c>
      <c r="BJ18" s="1">
        <v>0.96378330735482398</v>
      </c>
      <c r="BK18" s="1">
        <v>0.81481481481481499</v>
      </c>
      <c r="BL18" s="1">
        <v>1</v>
      </c>
      <c r="BM18" s="1">
        <v>4</v>
      </c>
      <c r="BN18" s="8" t="s">
        <v>140</v>
      </c>
      <c r="BO18" s="8" t="s">
        <v>85</v>
      </c>
      <c r="BP18" s="8" t="s">
        <v>206</v>
      </c>
      <c r="BQ18" s="8" t="s">
        <v>89</v>
      </c>
      <c r="BR18" s="8" t="s">
        <v>86</v>
      </c>
      <c r="BS18" s="7">
        <v>2.4E-2</v>
      </c>
      <c r="BT18" s="9" t="s">
        <v>223</v>
      </c>
      <c r="BU18" s="9" t="s">
        <v>213</v>
      </c>
      <c r="BV18" s="7">
        <v>0.99099999999999999</v>
      </c>
      <c r="BW18" s="7">
        <v>1</v>
      </c>
      <c r="BX18" s="7">
        <v>0.99299999999999999</v>
      </c>
      <c r="BY18" s="7">
        <v>0.84399999999999997</v>
      </c>
      <c r="BZ18" s="7">
        <v>0.995</v>
      </c>
      <c r="CA18" s="7">
        <v>0.85199999999999998</v>
      </c>
      <c r="CB18" s="7">
        <v>0.78100000000000003</v>
      </c>
    </row>
    <row r="19" spans="1:80" x14ac:dyDescent="0.2">
      <c r="A19" s="1" t="s">
        <v>139</v>
      </c>
      <c r="B19" s="1" t="s">
        <v>81</v>
      </c>
      <c r="C19" s="1" t="s">
        <v>82</v>
      </c>
      <c r="D19" s="1" t="s">
        <v>99</v>
      </c>
      <c r="E19" s="1" t="s">
        <v>93</v>
      </c>
      <c r="F19" s="1" t="s">
        <v>93</v>
      </c>
      <c r="G19" s="1">
        <v>1.9393119030293199E-2</v>
      </c>
      <c r="H19" s="1">
        <v>0.77207595627094805</v>
      </c>
      <c r="I19" s="1">
        <v>0.55113056761227097</v>
      </c>
      <c r="J19" s="1">
        <v>0.95384615384615201</v>
      </c>
      <c r="K19" s="1">
        <v>0.90291262135922301</v>
      </c>
      <c r="L19" s="1">
        <v>0.84157259183862299</v>
      </c>
      <c r="M19" s="1">
        <v>0.95726950354609897</v>
      </c>
      <c r="N19" s="1">
        <v>0.99137720018873299</v>
      </c>
      <c r="O19" s="1">
        <v>0.97406747875743005</v>
      </c>
      <c r="P19" s="1">
        <v>0.99962495565354004</v>
      </c>
      <c r="Q19" s="1">
        <v>0.67435802346300899</v>
      </c>
      <c r="R19" s="1">
        <v>0.40103074404968803</v>
      </c>
      <c r="S19" s="1">
        <v>0.97999999999999898</v>
      </c>
      <c r="T19" s="1">
        <v>0.998066980375792</v>
      </c>
      <c r="U19" s="1">
        <v>0.99683140787366298</v>
      </c>
      <c r="V19" s="1">
        <v>0.99916544033752397</v>
      </c>
      <c r="W19" s="1">
        <v>1.9393119030293199E-2</v>
      </c>
      <c r="X19" s="1">
        <v>1.7828225915540698E-2</v>
      </c>
      <c r="Y19" s="1">
        <v>2.08428958898393E-2</v>
      </c>
      <c r="Z19" s="1">
        <v>0.77546298215155696</v>
      </c>
      <c r="AA19" s="1">
        <v>0.58498948562890696</v>
      </c>
      <c r="AB19" s="1">
        <v>0.95302337810370297</v>
      </c>
      <c r="AC19" s="1">
        <v>0.80504736953504197</v>
      </c>
      <c r="AD19" s="1">
        <v>0.57240328113105399</v>
      </c>
      <c r="AE19" s="1">
        <v>0.98899360835335404</v>
      </c>
      <c r="AF19" s="1">
        <v>0.99856801668073503</v>
      </c>
      <c r="AG19" s="1">
        <v>0.99687953936245299</v>
      </c>
      <c r="AH19" s="1">
        <v>0.99946326502090799</v>
      </c>
      <c r="AI19" s="1">
        <v>253</v>
      </c>
      <c r="AJ19" s="1">
        <v>99</v>
      </c>
      <c r="AK19" s="1">
        <v>154</v>
      </c>
      <c r="AL19" s="1">
        <v>93</v>
      </c>
      <c r="AM19" s="1">
        <v>0</v>
      </c>
      <c r="AN19" s="1">
        <v>10</v>
      </c>
      <c r="AO19" s="1">
        <v>0</v>
      </c>
      <c r="AP19" s="1">
        <v>5</v>
      </c>
      <c r="AQ19" s="1">
        <v>1</v>
      </c>
      <c r="AR19" s="1">
        <v>15</v>
      </c>
      <c r="AS19" s="1">
        <v>129</v>
      </c>
      <c r="AT19" s="1">
        <v>99</v>
      </c>
      <c r="AU19" s="1">
        <v>2</v>
      </c>
      <c r="AV19" s="1">
        <v>6</v>
      </c>
      <c r="AW19" s="1">
        <v>146</v>
      </c>
      <c r="AX19" s="1">
        <v>0.93451533583538204</v>
      </c>
      <c r="AY19" s="1">
        <v>0.88589487222621599</v>
      </c>
      <c r="AZ19" s="1">
        <v>0.97547427706282497</v>
      </c>
      <c r="BA19" s="1">
        <v>5088</v>
      </c>
      <c r="BB19" s="1">
        <v>5253.1343873517799</v>
      </c>
      <c r="BC19" s="1">
        <v>103</v>
      </c>
      <c r="BD19" s="1">
        <v>150</v>
      </c>
      <c r="BE19" s="1">
        <v>0.82869371964565197</v>
      </c>
      <c r="BF19" s="1">
        <v>0.95245358156078797</v>
      </c>
      <c r="BG19" s="1">
        <v>0.96341683225941999</v>
      </c>
      <c r="BH19" s="1">
        <v>0.99983122885689002</v>
      </c>
      <c r="BI19" s="1">
        <v>0.82869371964565197</v>
      </c>
      <c r="BJ19" s="1">
        <v>0.96341683225941999</v>
      </c>
      <c r="BK19" s="1">
        <v>0.95726950354609897</v>
      </c>
      <c r="BL19" s="1">
        <v>0.99983122885689002</v>
      </c>
      <c r="BM19" s="1">
        <v>4</v>
      </c>
      <c r="BN19" s="8" t="s">
        <v>140</v>
      </c>
      <c r="BO19" s="8" t="s">
        <v>85</v>
      </c>
      <c r="BP19" s="8" t="s">
        <v>82</v>
      </c>
      <c r="BQ19" s="8" t="s">
        <v>99</v>
      </c>
      <c r="BR19" s="8" t="s">
        <v>100</v>
      </c>
      <c r="BS19" s="7">
        <v>1.9E-2</v>
      </c>
      <c r="BT19" s="9" t="s">
        <v>146</v>
      </c>
      <c r="BU19" s="9" t="s">
        <v>147</v>
      </c>
      <c r="BV19" s="7">
        <v>0.999</v>
      </c>
      <c r="BW19" s="7">
        <v>0.67400000000000004</v>
      </c>
      <c r="BX19" s="7">
        <v>0.998</v>
      </c>
      <c r="BY19" s="7">
        <v>0.77200000000000002</v>
      </c>
      <c r="BZ19" s="7">
        <v>0.80500000000000005</v>
      </c>
      <c r="CA19" s="7">
        <v>0.77500000000000002</v>
      </c>
      <c r="CB19" s="7">
        <v>0.93500000000000005</v>
      </c>
    </row>
    <row r="20" spans="1:80" hidden="1" x14ac:dyDescent="0.2"/>
    <row r="21" spans="1:80" hidden="1" x14ac:dyDescent="0.2"/>
  </sheetData>
  <sortState xmlns:xlrd2="http://schemas.microsoft.com/office/spreadsheetml/2017/richdata2" ref="A2:CB19">
    <sortCondition ref="BM2:BM19"/>
    <sortCondition ref="B2:B19"/>
    <sortCondition descending="1" ref="BR2:BR19"/>
    <sortCondition descending="1" ref="C2:C19"/>
  </sortState>
  <conditionalFormatting sqref="BR2:BR19">
    <cfRule type="containsText" dxfId="2" priority="2" operator="containsText" text="Full">
      <formula>NOT(ISERROR(SEARCH("Full",BR2)))</formula>
    </cfRule>
  </conditionalFormatting>
  <conditionalFormatting sqref="BV2:CB19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ACE3-BEEA-184F-BB6E-BCF3B206DB68}">
  <dimension ref="A1:CB17"/>
  <sheetViews>
    <sheetView topLeftCell="BN1" workbookViewId="0">
      <selection activeCell="BT24" sqref="BT24"/>
    </sheetView>
  </sheetViews>
  <sheetFormatPr baseColWidth="10" defaultRowHeight="16" x14ac:dyDescent="0.2"/>
  <cols>
    <col min="1" max="3" width="0" style="1" hidden="1" customWidth="1"/>
    <col min="4" max="4" width="23.33203125" style="1" hidden="1" customWidth="1"/>
    <col min="5" max="65" width="0" style="1" hidden="1" customWidth="1"/>
    <col min="66" max="66" width="10.83203125" style="1"/>
    <col min="67" max="68" width="0" style="1" hidden="1" customWidth="1"/>
    <col min="69" max="69" width="13.83203125" style="1" customWidth="1"/>
    <col min="70" max="70" width="18" style="1" hidden="1" customWidth="1"/>
    <col min="71" max="71" width="12" style="1" customWidth="1"/>
    <col min="72" max="73" width="18.83203125" style="1" customWidth="1"/>
    <col min="74" max="74" width="7.5" style="1" customWidth="1"/>
    <col min="75" max="75" width="13" style="1" customWidth="1"/>
    <col min="76" max="76" width="10.83203125" style="1"/>
    <col min="77" max="77" width="8.1640625" style="1" customWidth="1"/>
    <col min="78" max="78" width="7.83203125" style="1" customWidth="1"/>
    <col min="79" max="79" width="7.6640625" style="1" customWidth="1"/>
    <col min="80" max="80" width="9.5" style="1" customWidth="1"/>
    <col min="81" max="16384" width="10.83203125" style="1"/>
  </cols>
  <sheetData>
    <row r="1" spans="1:80" s="77" customFormat="1" ht="52" customHeigh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81</v>
      </c>
      <c r="C2" s="1" t="s">
        <v>82</v>
      </c>
      <c r="D2" s="1" t="s">
        <v>92</v>
      </c>
      <c r="E2" s="1" t="s">
        <v>93</v>
      </c>
      <c r="F2" s="1" t="s">
        <v>93</v>
      </c>
      <c r="G2" s="1">
        <v>0.217507458034641</v>
      </c>
      <c r="H2" s="1">
        <v>0.87934834690943997</v>
      </c>
      <c r="I2" s="1">
        <v>0.834371468135778</v>
      </c>
      <c r="J2" s="1">
        <v>0.92002511353016603</v>
      </c>
      <c r="K2" s="1">
        <v>0.93920163766632503</v>
      </c>
      <c r="L2" s="1">
        <v>0.88116968848067501</v>
      </c>
      <c r="M2" s="1">
        <v>0.984615384615385</v>
      </c>
      <c r="N2" s="1">
        <v>0.94526004324570401</v>
      </c>
      <c r="O2" s="1">
        <v>0.92708783295886599</v>
      </c>
      <c r="P2" s="1">
        <v>0.96337417824096006</v>
      </c>
      <c r="Q2" s="1">
        <v>0.82666666666666699</v>
      </c>
      <c r="R2" s="1">
        <v>0.76581514622435598</v>
      </c>
      <c r="S2" s="1">
        <v>0.88590604026845599</v>
      </c>
      <c r="T2" s="1">
        <v>0.98243538943757802</v>
      </c>
      <c r="U2" s="1">
        <v>0.964671097208882</v>
      </c>
      <c r="V2" s="1">
        <v>0.99563318777292598</v>
      </c>
      <c r="W2" s="1">
        <v>0.217507458034641</v>
      </c>
      <c r="X2" s="1">
        <v>0.19882356152004099</v>
      </c>
      <c r="Y2" s="1">
        <v>0.23666271419427301</v>
      </c>
      <c r="Z2" s="1">
        <v>0.84594312135706795</v>
      </c>
      <c r="AA2" s="1">
        <v>0.789873847509173</v>
      </c>
      <c r="AB2" s="1">
        <v>0.89701993836928695</v>
      </c>
      <c r="AC2" s="1">
        <v>0.89905725264910397</v>
      </c>
      <c r="AD2" s="1">
        <v>0.86200283173807801</v>
      </c>
      <c r="AE2" s="1">
        <v>0.93328816693618</v>
      </c>
      <c r="AF2" s="1">
        <v>0.98534300798153895</v>
      </c>
      <c r="AG2" s="1">
        <v>0.96825155961666098</v>
      </c>
      <c r="AH2" s="1">
        <v>0.99658690008444195</v>
      </c>
      <c r="AI2" s="1">
        <v>307</v>
      </c>
      <c r="AJ2" s="1">
        <v>150</v>
      </c>
      <c r="AK2" s="1">
        <v>157</v>
      </c>
      <c r="AL2" s="1">
        <v>123</v>
      </c>
      <c r="AM2" s="1">
        <v>1</v>
      </c>
      <c r="AN2" s="1">
        <v>5</v>
      </c>
      <c r="AO2" s="1">
        <v>1</v>
      </c>
      <c r="AP2" s="1">
        <v>21</v>
      </c>
      <c r="AQ2" s="1">
        <v>5</v>
      </c>
      <c r="AR2" s="1">
        <v>3</v>
      </c>
      <c r="AS2" s="1">
        <v>148</v>
      </c>
      <c r="AT2" s="1">
        <v>147</v>
      </c>
      <c r="AU2" s="1">
        <v>4</v>
      </c>
      <c r="AV2" s="1">
        <v>13</v>
      </c>
      <c r="AW2" s="1">
        <v>143</v>
      </c>
      <c r="AX2" s="1">
        <v>0.88932714125156398</v>
      </c>
      <c r="AY2" s="1">
        <v>0.83698307172744801</v>
      </c>
      <c r="AZ2" s="1">
        <v>0.934877603835221</v>
      </c>
      <c r="BA2" s="1">
        <v>966</v>
      </c>
      <c r="BB2" s="1">
        <v>1208.1596091205199</v>
      </c>
      <c r="BC2" s="1">
        <v>130</v>
      </c>
      <c r="BD2" s="1">
        <v>177</v>
      </c>
      <c r="BE2" s="1">
        <v>0.88234476658615002</v>
      </c>
      <c r="BF2" s="1">
        <v>0.97306030387407105</v>
      </c>
      <c r="BG2" s="1">
        <v>0.898555799921257</v>
      </c>
      <c r="BH2" s="1">
        <v>0.97257810738795603</v>
      </c>
      <c r="BI2" s="1">
        <v>0.88116968848067501</v>
      </c>
      <c r="BJ2" s="1">
        <v>0.898555799921257</v>
      </c>
      <c r="BK2" s="1">
        <v>0.984615384615385</v>
      </c>
      <c r="BL2" s="1">
        <v>0.97257810738795603</v>
      </c>
      <c r="BM2" s="1">
        <v>1</v>
      </c>
      <c r="BN2" s="4" t="s">
        <v>84</v>
      </c>
      <c r="BO2" s="4" t="s">
        <v>85</v>
      </c>
      <c r="BP2" s="4" t="s">
        <v>82</v>
      </c>
      <c r="BQ2" s="4" t="s">
        <v>92</v>
      </c>
      <c r="BR2" s="4" t="s">
        <v>86</v>
      </c>
      <c r="BS2" s="5">
        <v>0.218</v>
      </c>
      <c r="BT2" s="6" t="s">
        <v>94</v>
      </c>
      <c r="BU2" s="6" t="s">
        <v>95</v>
      </c>
      <c r="BV2" s="7">
        <v>0.98499999999999999</v>
      </c>
      <c r="BW2" s="7">
        <v>0.82699999999999996</v>
      </c>
      <c r="BX2" s="7">
        <v>0.98199999999999998</v>
      </c>
      <c r="BY2" s="7">
        <v>0.879</v>
      </c>
      <c r="BZ2" s="7">
        <v>0.89900000000000002</v>
      </c>
      <c r="CA2" s="7">
        <v>0.84599999999999997</v>
      </c>
      <c r="CB2" s="7">
        <v>0.88900000000000001</v>
      </c>
    </row>
    <row r="3" spans="1:80" x14ac:dyDescent="0.2">
      <c r="A3" s="1" t="s">
        <v>80</v>
      </c>
      <c r="B3" s="1" t="s">
        <v>81</v>
      </c>
      <c r="C3" s="1" t="s">
        <v>82</v>
      </c>
      <c r="D3" s="1" t="s">
        <v>96</v>
      </c>
      <c r="E3" s="1" t="s">
        <v>93</v>
      </c>
      <c r="F3" s="1" t="s">
        <v>93</v>
      </c>
      <c r="G3" s="1">
        <v>0.230687029698562</v>
      </c>
      <c r="H3" s="1">
        <v>0.90336408536017199</v>
      </c>
      <c r="I3" s="1">
        <v>0.862834443573404</v>
      </c>
      <c r="J3" s="1">
        <v>0.93919430794430803</v>
      </c>
      <c r="K3" s="1">
        <v>0.93553368075661103</v>
      </c>
      <c r="L3" s="1">
        <v>0.87960152546105297</v>
      </c>
      <c r="M3" s="1">
        <v>0.98013245033112595</v>
      </c>
      <c r="N3" s="1">
        <v>0.95931242041902998</v>
      </c>
      <c r="O3" s="1">
        <v>0.94269851231301505</v>
      </c>
      <c r="P3" s="1">
        <v>0.97523865539757204</v>
      </c>
      <c r="Q3" s="1">
        <v>0.87333333333333396</v>
      </c>
      <c r="R3" s="1">
        <v>0.81926619521564503</v>
      </c>
      <c r="S3" s="1">
        <v>0.92413793103448305</v>
      </c>
      <c r="T3" s="1">
        <v>0.98024720563013801</v>
      </c>
      <c r="U3" s="1">
        <v>0.96240171489399495</v>
      </c>
      <c r="V3" s="1">
        <v>0.99393067743243402</v>
      </c>
      <c r="W3" s="1">
        <v>0.230687029698562</v>
      </c>
      <c r="X3" s="1">
        <v>0.21416803953871499</v>
      </c>
      <c r="Y3" s="1">
        <v>0.24768773310039399</v>
      </c>
      <c r="Z3" s="1">
        <v>0.87396980344338204</v>
      </c>
      <c r="AA3" s="1">
        <v>0.82162377239853901</v>
      </c>
      <c r="AB3" s="1">
        <v>0.92073861804643298</v>
      </c>
      <c r="AC3" s="1">
        <v>0.92460585302225495</v>
      </c>
      <c r="AD3" s="1">
        <v>0.89279410187175801</v>
      </c>
      <c r="AE3" s="1">
        <v>0.95271491007712905</v>
      </c>
      <c r="AF3" s="1">
        <v>0.98227418000819799</v>
      </c>
      <c r="AG3" s="1">
        <v>0.96369449592687395</v>
      </c>
      <c r="AH3" s="1">
        <v>0.99488808627717695</v>
      </c>
      <c r="AI3" s="1">
        <v>307</v>
      </c>
      <c r="AJ3" s="1">
        <v>150</v>
      </c>
      <c r="AK3" s="1">
        <v>157</v>
      </c>
      <c r="AL3" s="1">
        <v>129</v>
      </c>
      <c r="AM3" s="1">
        <v>2</v>
      </c>
      <c r="AN3" s="1">
        <v>6</v>
      </c>
      <c r="AO3" s="1">
        <v>1</v>
      </c>
      <c r="AP3" s="1">
        <v>15</v>
      </c>
      <c r="AQ3" s="1">
        <v>4</v>
      </c>
      <c r="AR3" s="1">
        <v>2</v>
      </c>
      <c r="AS3" s="1">
        <v>148</v>
      </c>
      <c r="AT3" s="1">
        <v>147</v>
      </c>
      <c r="AU3" s="1">
        <v>4</v>
      </c>
      <c r="AV3" s="1">
        <v>13</v>
      </c>
      <c r="AW3" s="1">
        <v>143</v>
      </c>
      <c r="AX3" s="1">
        <v>0.88932714125156398</v>
      </c>
      <c r="AY3" s="1">
        <v>0.83131868131868103</v>
      </c>
      <c r="AZ3" s="1">
        <v>0.934896937823395</v>
      </c>
      <c r="BA3" s="1">
        <v>966</v>
      </c>
      <c r="BB3" s="1">
        <v>1208.1596091205199</v>
      </c>
      <c r="BC3" s="1">
        <v>138</v>
      </c>
      <c r="BD3" s="1">
        <v>169</v>
      </c>
      <c r="BE3" s="1">
        <v>0.87980784439277804</v>
      </c>
      <c r="BF3" s="1">
        <v>0.96974726668795697</v>
      </c>
      <c r="BG3" s="1">
        <v>0.91652327262991096</v>
      </c>
      <c r="BH3" s="1">
        <v>0.98318728015162704</v>
      </c>
      <c r="BI3" s="1">
        <v>0.87960152546105297</v>
      </c>
      <c r="BJ3" s="1">
        <v>0.91652327262991096</v>
      </c>
      <c r="BK3" s="1">
        <v>0.98013245033112595</v>
      </c>
      <c r="BL3" s="1">
        <v>0.98318728015162704</v>
      </c>
      <c r="BM3" s="1">
        <v>1</v>
      </c>
      <c r="BN3" s="4" t="s">
        <v>84</v>
      </c>
      <c r="BO3" s="4" t="s">
        <v>85</v>
      </c>
      <c r="BP3" s="4" t="s">
        <v>82</v>
      </c>
      <c r="BQ3" s="4" t="s">
        <v>96</v>
      </c>
      <c r="BR3" s="4" t="s">
        <v>86</v>
      </c>
      <c r="BS3" s="5">
        <v>0.23100000000000001</v>
      </c>
      <c r="BT3" s="6" t="s">
        <v>97</v>
      </c>
      <c r="BU3" s="6" t="s">
        <v>98</v>
      </c>
      <c r="BV3" s="7">
        <v>0.98199999999999998</v>
      </c>
      <c r="BW3" s="7">
        <v>0.873</v>
      </c>
      <c r="BX3" s="7">
        <v>0.98</v>
      </c>
      <c r="BY3" s="7">
        <v>0.90300000000000002</v>
      </c>
      <c r="BZ3" s="7">
        <v>0.92500000000000004</v>
      </c>
      <c r="CA3" s="7">
        <v>0.874</v>
      </c>
      <c r="CB3" s="7">
        <v>0.88900000000000001</v>
      </c>
    </row>
    <row r="4" spans="1:80" x14ac:dyDescent="0.2">
      <c r="A4" s="1" t="s">
        <v>80</v>
      </c>
      <c r="B4" s="1" t="s">
        <v>81</v>
      </c>
      <c r="C4" s="1" t="s">
        <v>82</v>
      </c>
      <c r="D4" s="1" t="s">
        <v>111</v>
      </c>
      <c r="E4" s="1" t="s">
        <v>93</v>
      </c>
      <c r="F4" s="1" t="s">
        <v>93</v>
      </c>
      <c r="G4" s="1">
        <v>0.25050091277438902</v>
      </c>
      <c r="H4" s="1">
        <v>0.92698639942734395</v>
      </c>
      <c r="I4" s="1">
        <v>0.88814194617512099</v>
      </c>
      <c r="J4" s="1">
        <v>0.96167247386759602</v>
      </c>
      <c r="K4" s="1">
        <v>0.92072520440810501</v>
      </c>
      <c r="L4" s="1">
        <v>0.85784610383148696</v>
      </c>
      <c r="M4" s="1">
        <v>0.97442274401024098</v>
      </c>
      <c r="N4" s="1">
        <v>0.97801936672013301</v>
      </c>
      <c r="O4" s="1">
        <v>0.96440053716448304</v>
      </c>
      <c r="P4" s="1">
        <v>0.99010605283305897</v>
      </c>
      <c r="Q4" s="1">
        <v>0.93333333333333302</v>
      </c>
      <c r="R4" s="1">
        <v>0.89040874944763504</v>
      </c>
      <c r="S4" s="1">
        <v>0.97059360240446602</v>
      </c>
      <c r="T4" s="1">
        <v>0.97362351410491499</v>
      </c>
      <c r="U4" s="1">
        <v>0.950310594379005</v>
      </c>
      <c r="V4" s="1">
        <v>0.99180393347567697</v>
      </c>
      <c r="W4" s="1">
        <v>0.25050091277438902</v>
      </c>
      <c r="X4" s="1">
        <v>0.23398192261454201</v>
      </c>
      <c r="Y4" s="1">
        <v>0.26905546874587599</v>
      </c>
      <c r="Z4" s="1">
        <v>0.90284137193789904</v>
      </c>
      <c r="AA4" s="1">
        <v>0.85192104425176596</v>
      </c>
      <c r="AB4" s="1">
        <v>0.94902484551735999</v>
      </c>
      <c r="AC4" s="1">
        <v>0.95315847194399606</v>
      </c>
      <c r="AD4" s="1">
        <v>0.92841531477760597</v>
      </c>
      <c r="AE4" s="1">
        <v>0.974886302592467</v>
      </c>
      <c r="AF4" s="1">
        <v>0.973844108847291</v>
      </c>
      <c r="AG4" s="1">
        <v>0.94694575758662802</v>
      </c>
      <c r="AH4" s="1">
        <v>0.99241663207034303</v>
      </c>
      <c r="AI4" s="1">
        <v>307</v>
      </c>
      <c r="AJ4" s="1">
        <v>150</v>
      </c>
      <c r="AK4" s="1">
        <v>157</v>
      </c>
      <c r="AL4" s="1">
        <v>137</v>
      </c>
      <c r="AM4" s="1">
        <v>3</v>
      </c>
      <c r="AN4" s="1">
        <v>6</v>
      </c>
      <c r="AO4" s="1">
        <v>2</v>
      </c>
      <c r="AP4" s="1">
        <v>7</v>
      </c>
      <c r="AQ4" s="1">
        <v>3</v>
      </c>
      <c r="AR4" s="1">
        <v>2</v>
      </c>
      <c r="AS4" s="1">
        <v>147</v>
      </c>
      <c r="AT4" s="1">
        <v>147</v>
      </c>
      <c r="AU4" s="1">
        <v>4</v>
      </c>
      <c r="AV4" s="1">
        <v>13</v>
      </c>
      <c r="AW4" s="1">
        <v>143</v>
      </c>
      <c r="AX4" s="1">
        <v>0.88932714125156398</v>
      </c>
      <c r="AY4" s="1">
        <v>0.83676047699084</v>
      </c>
      <c r="AZ4" s="1">
        <v>0.93486378681150795</v>
      </c>
      <c r="BA4" s="1">
        <v>966</v>
      </c>
      <c r="BB4" s="1">
        <v>1208.1596091205199</v>
      </c>
      <c r="BC4" s="1">
        <v>148</v>
      </c>
      <c r="BD4" s="1">
        <v>159</v>
      </c>
      <c r="BE4" s="1">
        <v>0.86265110317281801</v>
      </c>
      <c r="BF4" s="1">
        <v>0.95740222210527703</v>
      </c>
      <c r="BG4" s="1">
        <v>0.94585207797549997</v>
      </c>
      <c r="BH4" s="1">
        <v>0.99609194966317505</v>
      </c>
      <c r="BI4" s="1">
        <v>0.85784610383148696</v>
      </c>
      <c r="BJ4" s="1">
        <v>0.94585207797549997</v>
      </c>
      <c r="BK4" s="1">
        <v>0.97442274401024098</v>
      </c>
      <c r="BL4" s="1">
        <v>0.99609194966317505</v>
      </c>
      <c r="BM4" s="1">
        <v>1</v>
      </c>
      <c r="BN4" s="4" t="s">
        <v>84</v>
      </c>
      <c r="BO4" s="4" t="s">
        <v>85</v>
      </c>
      <c r="BP4" s="4" t="s">
        <v>82</v>
      </c>
      <c r="BQ4" s="4" t="s">
        <v>111</v>
      </c>
      <c r="BR4" s="4" t="s">
        <v>86</v>
      </c>
      <c r="BS4" s="5">
        <v>0.251</v>
      </c>
      <c r="BT4" s="6" t="s">
        <v>112</v>
      </c>
      <c r="BU4" s="6" t="s">
        <v>113</v>
      </c>
      <c r="BV4" s="7">
        <v>0.97399999999999998</v>
      </c>
      <c r="BW4" s="7">
        <v>0.93300000000000005</v>
      </c>
      <c r="BX4" s="7">
        <v>0.97399999999999998</v>
      </c>
      <c r="BY4" s="7">
        <v>0.92700000000000005</v>
      </c>
      <c r="BZ4" s="7">
        <v>0.95299999999999996</v>
      </c>
      <c r="CA4" s="7">
        <v>0.90300000000000002</v>
      </c>
      <c r="CB4" s="7">
        <v>0.88900000000000001</v>
      </c>
    </row>
    <row r="5" spans="1:80" x14ac:dyDescent="0.2">
      <c r="A5" s="1" t="s">
        <v>80</v>
      </c>
      <c r="B5" s="1" t="s">
        <v>81</v>
      </c>
      <c r="C5" s="1" t="s">
        <v>82</v>
      </c>
      <c r="D5" s="1" t="s">
        <v>114</v>
      </c>
      <c r="E5" s="1" t="s">
        <v>93</v>
      </c>
      <c r="F5" s="1" t="s">
        <v>93</v>
      </c>
      <c r="G5" s="1">
        <v>0.19769357495881401</v>
      </c>
      <c r="H5" s="1">
        <v>0.85185185185185197</v>
      </c>
      <c r="I5" s="1">
        <v>0.80297397769516798</v>
      </c>
      <c r="J5" s="1">
        <v>0.89441332580462996</v>
      </c>
      <c r="K5" s="1">
        <v>0.95833333333333304</v>
      </c>
      <c r="L5" s="1">
        <v>0.91935483870967705</v>
      </c>
      <c r="M5" s="1">
        <v>0.99145299145299104</v>
      </c>
      <c r="N5" s="1">
        <v>0.928131416837782</v>
      </c>
      <c r="O5" s="1">
        <v>0.90821867883835095</v>
      </c>
      <c r="P5" s="1">
        <v>0.94743540779479696</v>
      </c>
      <c r="Q5" s="1">
        <v>0.76666666666666705</v>
      </c>
      <c r="R5" s="1">
        <v>0.69512195121951204</v>
      </c>
      <c r="S5" s="1">
        <v>0.83221476510067105</v>
      </c>
      <c r="T5" s="1">
        <v>0.98905908096280104</v>
      </c>
      <c r="U5" s="1">
        <v>0.97903930814337403</v>
      </c>
      <c r="V5" s="1">
        <v>0.99775556873041404</v>
      </c>
      <c r="W5" s="1">
        <v>0.19769357495881401</v>
      </c>
      <c r="X5" s="1">
        <v>0.179391942489142</v>
      </c>
      <c r="Y5" s="1">
        <v>0.21465065993640101</v>
      </c>
      <c r="Z5" s="1">
        <v>0.81848899569281697</v>
      </c>
      <c r="AA5" s="1">
        <v>0.763847213863588</v>
      </c>
      <c r="AB5" s="1">
        <v>0.86813043364548004</v>
      </c>
      <c r="AC5" s="1">
        <v>0.86484191020345103</v>
      </c>
      <c r="AD5" s="1">
        <v>0.81756734785694996</v>
      </c>
      <c r="AE5" s="1">
        <v>0.90474086365295803</v>
      </c>
      <c r="AF5" s="1">
        <v>0.99185336048879802</v>
      </c>
      <c r="AG5" s="1">
        <v>0.98352900797257603</v>
      </c>
      <c r="AH5" s="1">
        <v>0.99839408906098603</v>
      </c>
      <c r="AI5" s="1">
        <v>307</v>
      </c>
      <c r="AJ5" s="1">
        <v>150</v>
      </c>
      <c r="AK5" s="1">
        <v>157</v>
      </c>
      <c r="AL5" s="1">
        <v>115</v>
      </c>
      <c r="AM5" s="1">
        <v>0</v>
      </c>
      <c r="AN5" s="1">
        <v>5</v>
      </c>
      <c r="AO5" s="1">
        <v>0</v>
      </c>
      <c r="AP5" s="1">
        <v>29</v>
      </c>
      <c r="AQ5" s="1">
        <v>6</v>
      </c>
      <c r="AR5" s="1">
        <v>3</v>
      </c>
      <c r="AS5" s="1">
        <v>149</v>
      </c>
      <c r="AT5" s="1">
        <v>147</v>
      </c>
      <c r="AU5" s="1">
        <v>4</v>
      </c>
      <c r="AV5" s="1">
        <v>13</v>
      </c>
      <c r="AW5" s="1">
        <v>143</v>
      </c>
      <c r="AX5" s="1">
        <v>0.88932714125156398</v>
      </c>
      <c r="AY5" s="1">
        <v>0.83682936568446298</v>
      </c>
      <c r="AZ5" s="1">
        <v>0.94055136829753105</v>
      </c>
      <c r="BA5" s="1">
        <v>966</v>
      </c>
      <c r="BB5" s="1">
        <v>1208.1596091205199</v>
      </c>
      <c r="BC5" s="1">
        <v>120</v>
      </c>
      <c r="BD5" s="1">
        <v>187</v>
      </c>
      <c r="BE5" s="1">
        <v>0.90544120002406303</v>
      </c>
      <c r="BF5" s="1">
        <v>0.98633461588321003</v>
      </c>
      <c r="BG5" s="1">
        <v>0.88405464731273697</v>
      </c>
      <c r="BH5" s="1">
        <v>0.96246743192329598</v>
      </c>
      <c r="BI5" s="1">
        <v>0.90544120002406303</v>
      </c>
      <c r="BJ5" s="1">
        <v>0.88405464731273697</v>
      </c>
      <c r="BK5" s="1">
        <v>0.99145299145299104</v>
      </c>
      <c r="BL5" s="1">
        <v>0.96246743192329598</v>
      </c>
      <c r="BM5" s="1">
        <v>1</v>
      </c>
      <c r="BN5" s="4" t="s">
        <v>84</v>
      </c>
      <c r="BO5" s="4" t="s">
        <v>85</v>
      </c>
      <c r="BP5" s="4" t="s">
        <v>82</v>
      </c>
      <c r="BQ5" s="4" t="s">
        <v>114</v>
      </c>
      <c r="BR5" s="4" t="s">
        <v>86</v>
      </c>
      <c r="BS5" s="5">
        <v>0.19800000000000001</v>
      </c>
      <c r="BT5" s="6" t="s">
        <v>115</v>
      </c>
      <c r="BU5" s="6" t="s">
        <v>116</v>
      </c>
      <c r="BV5" s="7">
        <v>0.99199999999999999</v>
      </c>
      <c r="BW5" s="7">
        <v>0.76700000000000002</v>
      </c>
      <c r="BX5" s="7">
        <v>0.98899999999999999</v>
      </c>
      <c r="BY5" s="7">
        <v>0.85199999999999998</v>
      </c>
      <c r="BZ5" s="7">
        <v>0.86499999999999999</v>
      </c>
      <c r="CA5" s="7">
        <v>0.81799999999999995</v>
      </c>
      <c r="CB5" s="7">
        <v>0.88900000000000001</v>
      </c>
    </row>
    <row r="6" spans="1:80" x14ac:dyDescent="0.2">
      <c r="A6" s="1" t="s">
        <v>158</v>
      </c>
      <c r="B6" s="1" t="s">
        <v>81</v>
      </c>
      <c r="C6" s="1" t="s">
        <v>82</v>
      </c>
      <c r="D6" s="1" t="s">
        <v>92</v>
      </c>
      <c r="E6" s="1" t="s">
        <v>93</v>
      </c>
      <c r="F6" s="1" t="s">
        <v>93</v>
      </c>
      <c r="G6" s="1">
        <v>0.156201966041108</v>
      </c>
      <c r="H6" s="1">
        <v>0.82183111980227597</v>
      </c>
      <c r="I6" s="1">
        <v>0.74405156094758396</v>
      </c>
      <c r="J6" s="1">
        <v>0.89708536971303399</v>
      </c>
      <c r="K6" s="1">
        <v>0.86558155500886802</v>
      </c>
      <c r="L6" s="1">
        <v>0.75681235755271203</v>
      </c>
      <c r="M6" s="1">
        <v>0.97241380449790704</v>
      </c>
      <c r="N6" s="1">
        <v>0.95540716577879903</v>
      </c>
      <c r="O6" s="1">
        <v>0.92591206007383398</v>
      </c>
      <c r="P6" s="1">
        <v>0.97965543795223098</v>
      </c>
      <c r="Q6" s="1">
        <v>0.78229058945191299</v>
      </c>
      <c r="R6" s="1">
        <v>0.67892531421230995</v>
      </c>
      <c r="S6" s="1">
        <v>0.88993342478892701</v>
      </c>
      <c r="T6" s="1">
        <v>0.974616464995678</v>
      </c>
      <c r="U6" s="1">
        <v>0.948258731389373</v>
      </c>
      <c r="V6" s="1">
        <v>0.99530785516345799</v>
      </c>
      <c r="W6" s="1">
        <v>0.156201966041108</v>
      </c>
      <c r="X6" s="1">
        <v>0.13558386446139201</v>
      </c>
      <c r="Y6" s="1">
        <v>0.18115642307657201</v>
      </c>
      <c r="Z6" s="1">
        <v>0.78829699630665195</v>
      </c>
      <c r="AA6" s="1">
        <v>0.692881476823623</v>
      </c>
      <c r="AB6" s="1">
        <v>0.87993377483422996</v>
      </c>
      <c r="AC6" s="1">
        <v>0.86926807831856501</v>
      </c>
      <c r="AD6" s="1">
        <v>0.80144883460276595</v>
      </c>
      <c r="AE6" s="1">
        <v>0.93067779727350997</v>
      </c>
      <c r="AF6" s="1">
        <v>0.97800578876936595</v>
      </c>
      <c r="AG6" s="1">
        <v>0.94790648586543602</v>
      </c>
      <c r="AH6" s="1">
        <v>0.99642358674271203</v>
      </c>
      <c r="AI6" s="1">
        <v>300</v>
      </c>
      <c r="AJ6" s="1">
        <v>150</v>
      </c>
      <c r="AK6" s="1">
        <v>150</v>
      </c>
      <c r="AL6" s="1">
        <v>130</v>
      </c>
      <c r="AM6" s="1">
        <v>1</v>
      </c>
      <c r="AN6" s="1">
        <v>4</v>
      </c>
      <c r="AO6" s="1">
        <v>3</v>
      </c>
      <c r="AP6" s="1">
        <v>15</v>
      </c>
      <c r="AQ6" s="1">
        <v>4</v>
      </c>
      <c r="AR6" s="1">
        <v>1</v>
      </c>
      <c r="AS6" s="1">
        <v>142</v>
      </c>
      <c r="AT6" s="1">
        <v>145</v>
      </c>
      <c r="AU6" s="1">
        <v>3</v>
      </c>
      <c r="AV6" s="1">
        <v>5</v>
      </c>
      <c r="AW6" s="1">
        <v>147</v>
      </c>
      <c r="AX6" s="1">
        <v>0.94666666666666699</v>
      </c>
      <c r="AY6" s="1">
        <v>0.90660440293528999</v>
      </c>
      <c r="AZ6" s="1">
        <v>0.979989327641409</v>
      </c>
      <c r="BA6" s="1">
        <v>879.5</v>
      </c>
      <c r="BB6" s="1">
        <v>1105.92333333333</v>
      </c>
      <c r="BC6" s="1">
        <v>138</v>
      </c>
      <c r="BD6" s="1">
        <v>162</v>
      </c>
      <c r="BE6" s="1">
        <v>0.79337058743656397</v>
      </c>
      <c r="BF6" s="1">
        <v>0.91502647633382705</v>
      </c>
      <c r="BG6" s="1">
        <v>0.91299985922176197</v>
      </c>
      <c r="BH6" s="1">
        <v>0.98245347518926596</v>
      </c>
      <c r="BI6" s="1">
        <v>0.75681235755271203</v>
      </c>
      <c r="BJ6" s="1">
        <v>0.91299985922176197</v>
      </c>
      <c r="BK6" s="1">
        <v>0.97241380449790704</v>
      </c>
      <c r="BL6" s="1">
        <v>0.98245347518926596</v>
      </c>
      <c r="BM6" s="1">
        <v>2</v>
      </c>
      <c r="BN6" s="8" t="s">
        <v>159</v>
      </c>
      <c r="BO6" s="8" t="s">
        <v>85</v>
      </c>
      <c r="BP6" s="8" t="s">
        <v>82</v>
      </c>
      <c r="BQ6" s="8" t="s">
        <v>92</v>
      </c>
      <c r="BR6" s="8" t="s">
        <v>86</v>
      </c>
      <c r="BS6" s="7">
        <v>0.156</v>
      </c>
      <c r="BT6" s="9" t="s">
        <v>174</v>
      </c>
      <c r="BU6" s="9" t="s">
        <v>175</v>
      </c>
      <c r="BV6" s="7">
        <v>0.97799999999999998</v>
      </c>
      <c r="BW6" s="7">
        <v>0.78200000000000003</v>
      </c>
      <c r="BX6" s="7">
        <v>0.97499999999999998</v>
      </c>
      <c r="BY6" s="7">
        <v>0.82199999999999995</v>
      </c>
      <c r="BZ6" s="7">
        <v>0.86899999999999999</v>
      </c>
      <c r="CA6" s="7">
        <v>0.78800000000000003</v>
      </c>
      <c r="CB6" s="7">
        <v>0.94699999999999995</v>
      </c>
    </row>
    <row r="7" spans="1:80" x14ac:dyDescent="0.2">
      <c r="A7" s="1" t="s">
        <v>158</v>
      </c>
      <c r="B7" s="1" t="s">
        <v>81</v>
      </c>
      <c r="C7" s="1" t="s">
        <v>82</v>
      </c>
      <c r="D7" s="1" t="s">
        <v>96</v>
      </c>
      <c r="E7" s="1" t="s">
        <v>93</v>
      </c>
      <c r="F7" s="1" t="s">
        <v>93</v>
      </c>
      <c r="G7" s="1">
        <v>0.18785075960679201</v>
      </c>
      <c r="H7" s="1">
        <v>0.86232826649818495</v>
      </c>
      <c r="I7" s="1">
        <v>0.78958029991382495</v>
      </c>
      <c r="J7" s="1">
        <v>0.93212323421282905</v>
      </c>
      <c r="K7" s="1">
        <v>0.82785851906472196</v>
      </c>
      <c r="L7" s="1">
        <v>0.72137679861903004</v>
      </c>
      <c r="M7" s="1">
        <v>0.93980301612461903</v>
      </c>
      <c r="N7" s="1">
        <v>0.97867505873161698</v>
      </c>
      <c r="O7" s="1">
        <v>0.95636437356224102</v>
      </c>
      <c r="P7" s="1">
        <v>0.99520500127128397</v>
      </c>
      <c r="Q7" s="1">
        <v>0.89979317476732101</v>
      </c>
      <c r="R7" s="1">
        <v>0.80989606362915301</v>
      </c>
      <c r="S7" s="1">
        <v>0.97606013393187097</v>
      </c>
      <c r="T7" s="1">
        <v>0.96090643906655104</v>
      </c>
      <c r="U7" s="1">
        <v>0.92847276735725404</v>
      </c>
      <c r="V7" s="1">
        <v>0.98805084359226403</v>
      </c>
      <c r="W7" s="1">
        <v>0.18785075960679201</v>
      </c>
      <c r="X7" s="1">
        <v>0.159417788603543</v>
      </c>
      <c r="Y7" s="1">
        <v>0.220708618502863</v>
      </c>
      <c r="Z7" s="1">
        <v>0.83317653528730695</v>
      </c>
      <c r="AA7" s="1">
        <v>0.74433028174840699</v>
      </c>
      <c r="AB7" s="1">
        <v>0.91815116870548097</v>
      </c>
      <c r="AC7" s="1">
        <v>0.92822813812254001</v>
      </c>
      <c r="AD7" s="1">
        <v>0.877053653072005</v>
      </c>
      <c r="AE7" s="1">
        <v>0.970151751483744</v>
      </c>
      <c r="AF7" s="1">
        <v>0.95851893328245896</v>
      </c>
      <c r="AG7" s="1">
        <v>0.91375198220228504</v>
      </c>
      <c r="AH7" s="1">
        <v>0.98862596795848101</v>
      </c>
      <c r="AI7" s="1">
        <v>300</v>
      </c>
      <c r="AJ7" s="1">
        <v>150</v>
      </c>
      <c r="AK7" s="1">
        <v>150</v>
      </c>
      <c r="AL7" s="1">
        <v>139</v>
      </c>
      <c r="AM7" s="1">
        <v>3</v>
      </c>
      <c r="AN7" s="1">
        <v>4</v>
      </c>
      <c r="AO7" s="1">
        <v>5</v>
      </c>
      <c r="AP7" s="1">
        <v>6</v>
      </c>
      <c r="AQ7" s="1">
        <v>2</v>
      </c>
      <c r="AR7" s="1">
        <v>1</v>
      </c>
      <c r="AS7" s="1">
        <v>140</v>
      </c>
      <c r="AT7" s="1">
        <v>145</v>
      </c>
      <c r="AU7" s="1">
        <v>3</v>
      </c>
      <c r="AV7" s="1">
        <v>5</v>
      </c>
      <c r="AW7" s="1">
        <v>147</v>
      </c>
      <c r="AX7" s="1">
        <v>0.94666666666666699</v>
      </c>
      <c r="AY7" s="1">
        <v>0.90656263972087203</v>
      </c>
      <c r="AZ7" s="1">
        <v>0.979982206405694</v>
      </c>
      <c r="BA7" s="1">
        <v>879.5</v>
      </c>
      <c r="BB7" s="1">
        <v>1105.92333333333</v>
      </c>
      <c r="BC7" s="1">
        <v>151</v>
      </c>
      <c r="BD7" s="1">
        <v>149</v>
      </c>
      <c r="BE7" s="1">
        <v>0.75797655991287205</v>
      </c>
      <c r="BF7" s="1">
        <v>0.88433189243779997</v>
      </c>
      <c r="BG7" s="1">
        <v>0.94228844953396296</v>
      </c>
      <c r="BH7" s="1">
        <v>0.99582843474977401</v>
      </c>
      <c r="BI7" s="1">
        <v>0.72137679861903004</v>
      </c>
      <c r="BJ7" s="1">
        <v>0.94228844953396296</v>
      </c>
      <c r="BK7" s="1">
        <v>0.93980301612461903</v>
      </c>
      <c r="BL7" s="1">
        <v>0.99582843474977401</v>
      </c>
      <c r="BM7" s="1">
        <v>2</v>
      </c>
      <c r="BN7" s="8" t="s">
        <v>159</v>
      </c>
      <c r="BO7" s="8" t="s">
        <v>85</v>
      </c>
      <c r="BP7" s="8" t="s">
        <v>82</v>
      </c>
      <c r="BQ7" s="8" t="s">
        <v>96</v>
      </c>
      <c r="BR7" s="8" t="s">
        <v>86</v>
      </c>
      <c r="BS7" s="7">
        <v>0.188</v>
      </c>
      <c r="BT7" s="9" t="s">
        <v>176</v>
      </c>
      <c r="BU7" s="9" t="s">
        <v>161</v>
      </c>
      <c r="BV7" s="7">
        <v>0.95899999999999996</v>
      </c>
      <c r="BW7" s="7">
        <v>0.9</v>
      </c>
      <c r="BX7" s="7">
        <v>0.96099999999999997</v>
      </c>
      <c r="BY7" s="7">
        <v>0.86199999999999999</v>
      </c>
      <c r="BZ7" s="7">
        <v>0.92800000000000005</v>
      </c>
      <c r="CA7" s="7">
        <v>0.83299999999999996</v>
      </c>
      <c r="CB7" s="7">
        <v>0.94699999999999995</v>
      </c>
    </row>
    <row r="8" spans="1:80" x14ac:dyDescent="0.2">
      <c r="A8" s="1" t="s">
        <v>158</v>
      </c>
      <c r="B8" s="1" t="s">
        <v>81</v>
      </c>
      <c r="C8" s="1" t="s">
        <v>82</v>
      </c>
      <c r="D8" s="1" t="s">
        <v>111</v>
      </c>
      <c r="E8" s="1" t="s">
        <v>93</v>
      </c>
      <c r="F8" s="1" t="s">
        <v>93</v>
      </c>
      <c r="G8" s="1">
        <v>0.199499553172475</v>
      </c>
      <c r="H8" s="1">
        <v>0.86211117511520696</v>
      </c>
      <c r="I8" s="1">
        <v>0.78859914134259101</v>
      </c>
      <c r="J8" s="1">
        <v>0.93391745385956504</v>
      </c>
      <c r="K8" s="1">
        <v>0.80449292241533799</v>
      </c>
      <c r="L8" s="1">
        <v>0.69726544697426696</v>
      </c>
      <c r="M8" s="1">
        <v>0.91707799087872</v>
      </c>
      <c r="N8" s="1">
        <v>0.98458850584978097</v>
      </c>
      <c r="O8" s="1">
        <v>0.96224665244489804</v>
      </c>
      <c r="P8" s="1">
        <v>1</v>
      </c>
      <c r="Q8" s="1">
        <v>0.92861944157187104</v>
      </c>
      <c r="R8" s="1">
        <v>0.83978942918239996</v>
      </c>
      <c r="S8" s="1">
        <v>1</v>
      </c>
      <c r="T8" s="1">
        <v>0.95284680207433003</v>
      </c>
      <c r="U8" s="1">
        <v>0.91769423592882504</v>
      </c>
      <c r="V8" s="1">
        <v>0.98217313250398297</v>
      </c>
      <c r="W8" s="1">
        <v>0.199499553172475</v>
      </c>
      <c r="X8" s="1">
        <v>0.17023400980442699</v>
      </c>
      <c r="Y8" s="1">
        <v>0.23358327747989299</v>
      </c>
      <c r="Z8" s="1">
        <v>0.83399558901941095</v>
      </c>
      <c r="AA8" s="1">
        <v>0.74402242956907005</v>
      </c>
      <c r="AB8" s="1">
        <v>0.92113831882463304</v>
      </c>
      <c r="AC8" s="1">
        <v>0.93759855569089701</v>
      </c>
      <c r="AD8" s="1">
        <v>0.88702839269206102</v>
      </c>
      <c r="AE8" s="1">
        <v>0.97842004961076601</v>
      </c>
      <c r="AF8" s="1">
        <v>0.94675300898972004</v>
      </c>
      <c r="AG8" s="1">
        <v>0.89407377899455798</v>
      </c>
      <c r="AH8" s="1">
        <v>0.98222066355521198</v>
      </c>
      <c r="AI8" s="1">
        <v>300</v>
      </c>
      <c r="AJ8" s="1">
        <v>150</v>
      </c>
      <c r="AK8" s="1">
        <v>150</v>
      </c>
      <c r="AL8" s="1">
        <v>144</v>
      </c>
      <c r="AM8" s="1">
        <v>3</v>
      </c>
      <c r="AN8" s="1">
        <v>5</v>
      </c>
      <c r="AO8" s="1">
        <v>6</v>
      </c>
      <c r="AP8" s="1">
        <v>1</v>
      </c>
      <c r="AQ8" s="1">
        <v>2</v>
      </c>
      <c r="AR8" s="1">
        <v>0</v>
      </c>
      <c r="AS8" s="1">
        <v>139</v>
      </c>
      <c r="AT8" s="1">
        <v>145</v>
      </c>
      <c r="AU8" s="1">
        <v>3</v>
      </c>
      <c r="AV8" s="1">
        <v>5</v>
      </c>
      <c r="AW8" s="1">
        <v>147</v>
      </c>
      <c r="AX8" s="1">
        <v>0.94666666666666699</v>
      </c>
      <c r="AY8" s="1">
        <v>0.90660024906600201</v>
      </c>
      <c r="AZ8" s="1">
        <v>0.97997329773030695</v>
      </c>
      <c r="BA8" s="1">
        <v>879.5</v>
      </c>
      <c r="BB8" s="1">
        <v>1105.92333333333</v>
      </c>
      <c r="BC8" s="1">
        <v>158</v>
      </c>
      <c r="BD8" s="1">
        <v>142</v>
      </c>
      <c r="BE8" s="1">
        <v>0.73321857291428805</v>
      </c>
      <c r="BF8" s="1">
        <v>0.86262571750500305</v>
      </c>
      <c r="BG8" s="1">
        <v>0.95004936694513997</v>
      </c>
      <c r="BH8" s="1">
        <v>0.99828972628833301</v>
      </c>
      <c r="BI8" s="1">
        <v>0.69726544697426696</v>
      </c>
      <c r="BJ8" s="1">
        <v>0.95004936694513997</v>
      </c>
      <c r="BK8" s="1">
        <v>0.91707799087872</v>
      </c>
      <c r="BL8" s="1">
        <v>1</v>
      </c>
      <c r="BM8" s="1">
        <v>2</v>
      </c>
      <c r="BN8" s="8" t="s">
        <v>159</v>
      </c>
      <c r="BO8" s="8" t="s">
        <v>85</v>
      </c>
      <c r="BP8" s="8" t="s">
        <v>82</v>
      </c>
      <c r="BQ8" s="8" t="s">
        <v>111</v>
      </c>
      <c r="BR8" s="8" t="s">
        <v>86</v>
      </c>
      <c r="BS8" s="7">
        <v>0.19900000000000001</v>
      </c>
      <c r="BT8" s="9" t="s">
        <v>183</v>
      </c>
      <c r="BU8" s="9" t="s">
        <v>169</v>
      </c>
      <c r="BV8" s="7">
        <v>0.94699999999999995</v>
      </c>
      <c r="BW8" s="7">
        <v>0.92900000000000005</v>
      </c>
      <c r="BX8" s="7">
        <v>0.95299999999999996</v>
      </c>
      <c r="BY8" s="7">
        <v>0.86199999999999999</v>
      </c>
      <c r="BZ8" s="7">
        <v>0.93799999999999994</v>
      </c>
      <c r="CA8" s="7">
        <v>0.83399999999999996</v>
      </c>
      <c r="CB8" s="7">
        <v>0.94699999999999995</v>
      </c>
    </row>
    <row r="9" spans="1:80" x14ac:dyDescent="0.2">
      <c r="A9" s="1" t="s">
        <v>158</v>
      </c>
      <c r="B9" s="1" t="s">
        <v>81</v>
      </c>
      <c r="C9" s="1" t="s">
        <v>82</v>
      </c>
      <c r="D9" s="1" t="s">
        <v>114</v>
      </c>
      <c r="E9" s="1" t="s">
        <v>93</v>
      </c>
      <c r="F9" s="1" t="s">
        <v>93</v>
      </c>
      <c r="G9" s="1">
        <v>0.14455317247542401</v>
      </c>
      <c r="H9" s="1">
        <v>0.82059945657529798</v>
      </c>
      <c r="I9" s="1">
        <v>0.74143867642187</v>
      </c>
      <c r="J9" s="1">
        <v>0.89539460001823201</v>
      </c>
      <c r="K9" s="1">
        <v>0.90086859757040005</v>
      </c>
      <c r="L9" s="1">
        <v>0.79687771823612996</v>
      </c>
      <c r="M9" s="1">
        <v>0.99152542372881303</v>
      </c>
      <c r="N9" s="1">
        <v>0.95019039013000794</v>
      </c>
      <c r="O9" s="1">
        <v>0.92006658200674296</v>
      </c>
      <c r="P9" s="1">
        <v>0.97419835969095603</v>
      </c>
      <c r="Q9" s="1">
        <v>0.75346432264736296</v>
      </c>
      <c r="R9" s="1">
        <v>0.64630314342325501</v>
      </c>
      <c r="S9" s="1">
        <v>0.85909305273941505</v>
      </c>
      <c r="T9" s="1">
        <v>0.98267610198790001</v>
      </c>
      <c r="U9" s="1">
        <v>0.96045765722780296</v>
      </c>
      <c r="V9" s="1">
        <v>0.998664699374329</v>
      </c>
      <c r="W9" s="1">
        <v>0.14455317247542401</v>
      </c>
      <c r="X9" s="1">
        <v>0.12600622583523799</v>
      </c>
      <c r="Y9" s="1">
        <v>0.16756779715352299</v>
      </c>
      <c r="Z9" s="1">
        <v>0.79151685048104603</v>
      </c>
      <c r="AA9" s="1">
        <v>0.69782365013123804</v>
      </c>
      <c r="AB9" s="1">
        <v>0.87930397778939495</v>
      </c>
      <c r="AC9" s="1">
        <v>0.85425797522205804</v>
      </c>
      <c r="AD9" s="1">
        <v>0.78162100404178503</v>
      </c>
      <c r="AE9" s="1">
        <v>0.91777268594255601</v>
      </c>
      <c r="AF9" s="1">
        <v>0.986183286886679</v>
      </c>
      <c r="AG9" s="1">
        <v>0.96444864111428497</v>
      </c>
      <c r="AH9" s="1">
        <v>0.99898688539187697</v>
      </c>
      <c r="AI9" s="1">
        <v>300</v>
      </c>
      <c r="AJ9" s="1">
        <v>150</v>
      </c>
      <c r="AK9" s="1">
        <v>150</v>
      </c>
      <c r="AL9" s="1">
        <v>125</v>
      </c>
      <c r="AM9" s="1">
        <v>1</v>
      </c>
      <c r="AN9" s="1">
        <v>3</v>
      </c>
      <c r="AO9" s="1">
        <v>2</v>
      </c>
      <c r="AP9" s="1">
        <v>20</v>
      </c>
      <c r="AQ9" s="1">
        <v>4</v>
      </c>
      <c r="AR9" s="1">
        <v>2</v>
      </c>
      <c r="AS9" s="1">
        <v>143</v>
      </c>
      <c r="AT9" s="1">
        <v>145</v>
      </c>
      <c r="AU9" s="1">
        <v>3</v>
      </c>
      <c r="AV9" s="1">
        <v>5</v>
      </c>
      <c r="AW9" s="1">
        <v>147</v>
      </c>
      <c r="AX9" s="1">
        <v>0.94666666666666699</v>
      </c>
      <c r="AY9" s="1">
        <v>0.90661686232657401</v>
      </c>
      <c r="AZ9" s="1">
        <v>0.979982206405694</v>
      </c>
      <c r="BA9" s="1">
        <v>879.5</v>
      </c>
      <c r="BB9" s="1">
        <v>1105.92333333333</v>
      </c>
      <c r="BC9" s="1">
        <v>131</v>
      </c>
      <c r="BD9" s="1">
        <v>169</v>
      </c>
      <c r="BE9" s="1">
        <v>0.83628132405060795</v>
      </c>
      <c r="BF9" s="1">
        <v>0.94609457441380695</v>
      </c>
      <c r="BG9" s="1">
        <v>0.90885961982058405</v>
      </c>
      <c r="BH9" s="1">
        <v>0.97934446453964497</v>
      </c>
      <c r="BI9" s="1">
        <v>0.79687771823612996</v>
      </c>
      <c r="BJ9" s="1">
        <v>0.90885961982058405</v>
      </c>
      <c r="BK9" s="1">
        <v>0.99152542372881303</v>
      </c>
      <c r="BL9" s="1">
        <v>0.97934446453964497</v>
      </c>
      <c r="BM9" s="1">
        <v>2</v>
      </c>
      <c r="BN9" s="8" t="s">
        <v>159</v>
      </c>
      <c r="BO9" s="8" t="s">
        <v>85</v>
      </c>
      <c r="BP9" s="8" t="s">
        <v>82</v>
      </c>
      <c r="BQ9" s="8" t="s">
        <v>114</v>
      </c>
      <c r="BR9" s="8" t="s">
        <v>86</v>
      </c>
      <c r="BS9" s="7">
        <v>0.14499999999999999</v>
      </c>
      <c r="BT9" s="9" t="s">
        <v>184</v>
      </c>
      <c r="BU9" s="9" t="s">
        <v>185</v>
      </c>
      <c r="BV9" s="7">
        <v>0.98599999999999999</v>
      </c>
      <c r="BW9" s="7">
        <v>0.753</v>
      </c>
      <c r="BX9" s="7">
        <v>0.98299999999999998</v>
      </c>
      <c r="BY9" s="7">
        <v>0.82099999999999995</v>
      </c>
      <c r="BZ9" s="7">
        <v>0.85399999999999998</v>
      </c>
      <c r="CA9" s="7">
        <v>0.79200000000000004</v>
      </c>
      <c r="CB9" s="7">
        <v>0.94699999999999995</v>
      </c>
    </row>
    <row r="10" spans="1:80" x14ac:dyDescent="0.2">
      <c r="A10" s="1" t="s">
        <v>166</v>
      </c>
      <c r="B10" s="1" t="s">
        <v>81</v>
      </c>
      <c r="C10" s="1" t="s">
        <v>82</v>
      </c>
      <c r="D10" s="1" t="s">
        <v>92</v>
      </c>
      <c r="E10" s="1" t="s">
        <v>93</v>
      </c>
      <c r="F10" s="1" t="s">
        <v>93</v>
      </c>
      <c r="G10" s="1">
        <v>0.17922464520595399</v>
      </c>
      <c r="H10" s="1">
        <v>0.78783333067360295</v>
      </c>
      <c r="I10" s="1">
        <v>0.72434219683698298</v>
      </c>
      <c r="J10" s="1">
        <v>0.84496124031007802</v>
      </c>
      <c r="K10" s="1">
        <v>0.95345513538568505</v>
      </c>
      <c r="L10" s="1">
        <v>0.88926818676450703</v>
      </c>
      <c r="M10" s="1">
        <v>1</v>
      </c>
      <c r="N10" s="1">
        <v>0.89802717588414405</v>
      </c>
      <c r="O10" s="1">
        <v>0.87097259847854602</v>
      </c>
      <c r="P10" s="1">
        <v>0.92340525292001296</v>
      </c>
      <c r="Q10" s="1">
        <v>0.67123511176374595</v>
      </c>
      <c r="R10" s="1">
        <v>0.59207657682371395</v>
      </c>
      <c r="S10" s="1">
        <v>0.75183779591051103</v>
      </c>
      <c r="T10" s="1">
        <v>0.98880901965154699</v>
      </c>
      <c r="U10" s="1">
        <v>0.97150690989886201</v>
      </c>
      <c r="V10" s="1">
        <v>1</v>
      </c>
      <c r="W10" s="1">
        <v>0.17922464520595399</v>
      </c>
      <c r="X10" s="1">
        <v>0.158714252389309</v>
      </c>
      <c r="Y10" s="1">
        <v>0.20078363980252401</v>
      </c>
      <c r="Z10" s="1">
        <v>0.74967719890468898</v>
      </c>
      <c r="AA10" s="1">
        <v>0.678383544857183</v>
      </c>
      <c r="AB10" s="1">
        <v>0.81407042618937298</v>
      </c>
      <c r="AC10" s="1">
        <v>0.80097843624046805</v>
      </c>
      <c r="AD10" s="1">
        <v>0.74143323842431397</v>
      </c>
      <c r="AE10" s="1">
        <v>0.85543108017367597</v>
      </c>
      <c r="AF10" s="1">
        <v>0.99289566858238498</v>
      </c>
      <c r="AG10" s="1">
        <v>0.98048354244409197</v>
      </c>
      <c r="AH10" s="1">
        <v>1</v>
      </c>
      <c r="AI10" s="1">
        <v>300</v>
      </c>
      <c r="AJ10" s="1">
        <v>148</v>
      </c>
      <c r="AK10" s="1">
        <v>152</v>
      </c>
      <c r="AL10" s="1">
        <v>102</v>
      </c>
      <c r="AM10" s="1">
        <v>0</v>
      </c>
      <c r="AN10" s="1">
        <v>2</v>
      </c>
      <c r="AO10" s="1">
        <v>1</v>
      </c>
      <c r="AP10" s="1">
        <v>44</v>
      </c>
      <c r="AQ10" s="1">
        <v>2</v>
      </c>
      <c r="AR10" s="1">
        <v>2</v>
      </c>
      <c r="AS10" s="1">
        <v>147</v>
      </c>
      <c r="AT10" s="1">
        <v>139</v>
      </c>
      <c r="AU10" s="1">
        <v>12</v>
      </c>
      <c r="AV10" s="1">
        <v>0</v>
      </c>
      <c r="AW10" s="1">
        <v>149</v>
      </c>
      <c r="AX10" s="1">
        <v>0.92003909199946698</v>
      </c>
      <c r="AY10" s="1">
        <v>0.87372478589070401</v>
      </c>
      <c r="AZ10" s="1">
        <v>0.95998755168274597</v>
      </c>
      <c r="BA10" s="1">
        <v>744.5</v>
      </c>
      <c r="BB10" s="1">
        <v>912.58</v>
      </c>
      <c r="BC10" s="1">
        <v>105</v>
      </c>
      <c r="BD10" s="1">
        <v>195</v>
      </c>
      <c r="BE10" s="1">
        <v>0.89236543421393899</v>
      </c>
      <c r="BF10" s="1">
        <v>0.98435970786082605</v>
      </c>
      <c r="BG10" s="1">
        <v>0.84604757581226697</v>
      </c>
      <c r="BH10" s="1">
        <v>0.93621731990733204</v>
      </c>
      <c r="BI10" s="1">
        <v>0.88926818676450703</v>
      </c>
      <c r="BJ10" s="1">
        <v>0.84604757581226697</v>
      </c>
      <c r="BK10" s="1">
        <v>1</v>
      </c>
      <c r="BL10" s="1">
        <v>0.93621731990733204</v>
      </c>
      <c r="BM10" s="1">
        <v>3</v>
      </c>
      <c r="BN10" s="4" t="s">
        <v>167</v>
      </c>
      <c r="BO10" s="4" t="s">
        <v>85</v>
      </c>
      <c r="BP10" s="4" t="s">
        <v>82</v>
      </c>
      <c r="BQ10" s="4" t="s">
        <v>92</v>
      </c>
      <c r="BR10" s="4" t="s">
        <v>86</v>
      </c>
      <c r="BS10" s="5">
        <v>0.17899999999999999</v>
      </c>
      <c r="BT10" s="6" t="s">
        <v>190</v>
      </c>
      <c r="BU10" s="6" t="s">
        <v>191</v>
      </c>
      <c r="BV10" s="7">
        <v>0.99299999999999999</v>
      </c>
      <c r="BW10" s="7">
        <v>0.67100000000000004</v>
      </c>
      <c r="BX10" s="7">
        <v>0.98899999999999999</v>
      </c>
      <c r="BY10" s="7">
        <v>0.78800000000000003</v>
      </c>
      <c r="BZ10" s="7">
        <v>0.80100000000000005</v>
      </c>
      <c r="CA10" s="7">
        <v>0.75</v>
      </c>
      <c r="CB10" s="7">
        <v>0.92</v>
      </c>
    </row>
    <row r="11" spans="1:80" x14ac:dyDescent="0.2">
      <c r="A11" s="1" t="s">
        <v>166</v>
      </c>
      <c r="B11" s="1" t="s">
        <v>81</v>
      </c>
      <c r="C11" s="1" t="s">
        <v>82</v>
      </c>
      <c r="D11" s="1" t="s">
        <v>96</v>
      </c>
      <c r="E11" s="1" t="s">
        <v>93</v>
      </c>
      <c r="F11" s="1" t="s">
        <v>93</v>
      </c>
      <c r="G11" s="1">
        <v>0.244458290065767</v>
      </c>
      <c r="H11" s="1">
        <v>0.89956440917792602</v>
      </c>
      <c r="I11" s="1">
        <v>0.85064810240382804</v>
      </c>
      <c r="J11" s="1">
        <v>0.94205207260353796</v>
      </c>
      <c r="K11" s="1">
        <v>0.91818645219755302</v>
      </c>
      <c r="L11" s="1">
        <v>0.84806567996095406</v>
      </c>
      <c r="M11" s="1">
        <v>0.97909106180321204</v>
      </c>
      <c r="N11" s="1">
        <v>0.96013304256995702</v>
      </c>
      <c r="O11" s="1">
        <v>0.93791381976389798</v>
      </c>
      <c r="P11" s="1">
        <v>0.978850960686237</v>
      </c>
      <c r="Q11" s="1">
        <v>0.88168271061075798</v>
      </c>
      <c r="R11" s="1">
        <v>0.81956032916805999</v>
      </c>
      <c r="S11" s="1">
        <v>0.93713003994590505</v>
      </c>
      <c r="T11" s="1">
        <v>0.97316950852557704</v>
      </c>
      <c r="U11" s="1">
        <v>0.94691188576846297</v>
      </c>
      <c r="V11" s="1">
        <v>0.99353624450248401</v>
      </c>
      <c r="W11" s="1">
        <v>0.244458290065767</v>
      </c>
      <c r="X11" s="1">
        <v>0.223092477626261</v>
      </c>
      <c r="Y11" s="1">
        <v>0.26852594816754399</v>
      </c>
      <c r="Z11" s="1">
        <v>0.86650641614053303</v>
      </c>
      <c r="AA11" s="1">
        <v>0.80103473632417299</v>
      </c>
      <c r="AB11" s="1">
        <v>0.92391374078746802</v>
      </c>
      <c r="AC11" s="1">
        <v>0.926091618402202</v>
      </c>
      <c r="AD11" s="1">
        <v>0.88934666833984699</v>
      </c>
      <c r="AE11" s="1">
        <v>0.95693313680550296</v>
      </c>
      <c r="AF11" s="1">
        <v>0.97521141308533799</v>
      </c>
      <c r="AG11" s="1">
        <v>0.94680347888769001</v>
      </c>
      <c r="AH11" s="1">
        <v>0.99447562721049199</v>
      </c>
      <c r="AI11" s="1">
        <v>300</v>
      </c>
      <c r="AJ11" s="1">
        <v>148</v>
      </c>
      <c r="AK11" s="1">
        <v>152</v>
      </c>
      <c r="AL11" s="1">
        <v>131</v>
      </c>
      <c r="AM11" s="1">
        <v>1</v>
      </c>
      <c r="AN11" s="1">
        <v>3</v>
      </c>
      <c r="AO11" s="1">
        <v>3</v>
      </c>
      <c r="AP11" s="1">
        <v>15</v>
      </c>
      <c r="AQ11" s="1">
        <v>1</v>
      </c>
      <c r="AR11" s="1">
        <v>1</v>
      </c>
      <c r="AS11" s="1">
        <v>145</v>
      </c>
      <c r="AT11" s="1">
        <v>139</v>
      </c>
      <c r="AU11" s="1">
        <v>12</v>
      </c>
      <c r="AV11" s="1">
        <v>0</v>
      </c>
      <c r="AW11" s="1">
        <v>149</v>
      </c>
      <c r="AX11" s="1">
        <v>0.92003909199946698</v>
      </c>
      <c r="AY11" s="1">
        <v>0.87309644670050801</v>
      </c>
      <c r="AZ11" s="1">
        <v>0.96</v>
      </c>
      <c r="BA11" s="1">
        <v>744.5</v>
      </c>
      <c r="BB11" s="1">
        <v>912.58</v>
      </c>
      <c r="BC11" s="1">
        <v>138</v>
      </c>
      <c r="BD11" s="1">
        <v>162</v>
      </c>
      <c r="BE11" s="1">
        <v>0.86185295837748399</v>
      </c>
      <c r="BF11" s="1">
        <v>0.95953743984622797</v>
      </c>
      <c r="BG11" s="1">
        <v>0.92113178192359002</v>
      </c>
      <c r="BH11" s="1">
        <v>0.98628884593896304</v>
      </c>
      <c r="BI11" s="1">
        <v>0.84806567996095406</v>
      </c>
      <c r="BJ11" s="1">
        <v>0.92113178192359002</v>
      </c>
      <c r="BK11" s="1">
        <v>0.97909106180321204</v>
      </c>
      <c r="BL11" s="1">
        <v>0.98628884593896304</v>
      </c>
      <c r="BM11" s="1">
        <v>3</v>
      </c>
      <c r="BN11" s="4" t="s">
        <v>167</v>
      </c>
      <c r="BO11" s="4" t="s">
        <v>85</v>
      </c>
      <c r="BP11" s="4" t="s">
        <v>82</v>
      </c>
      <c r="BQ11" s="4" t="s">
        <v>96</v>
      </c>
      <c r="BR11" s="4" t="s">
        <v>86</v>
      </c>
      <c r="BS11" s="5">
        <v>0.24399999999999999</v>
      </c>
      <c r="BT11" s="6" t="s">
        <v>192</v>
      </c>
      <c r="BU11" s="6" t="s">
        <v>193</v>
      </c>
      <c r="BV11" s="7">
        <v>0.97499999999999998</v>
      </c>
      <c r="BW11" s="7">
        <v>0.88200000000000001</v>
      </c>
      <c r="BX11" s="7">
        <v>0.97299999999999998</v>
      </c>
      <c r="BY11" s="7">
        <v>0.9</v>
      </c>
      <c r="BZ11" s="7">
        <v>0.92600000000000005</v>
      </c>
      <c r="CA11" s="7">
        <v>0.86699999999999999</v>
      </c>
      <c r="CB11" s="7">
        <v>0.92</v>
      </c>
    </row>
    <row r="12" spans="1:80" x14ac:dyDescent="0.2">
      <c r="A12" s="1" t="s">
        <v>166</v>
      </c>
      <c r="B12" s="1" t="s">
        <v>81</v>
      </c>
      <c r="C12" s="1" t="s">
        <v>82</v>
      </c>
      <c r="D12" s="1" t="s">
        <v>111</v>
      </c>
      <c r="E12" s="1" t="s">
        <v>93</v>
      </c>
      <c r="F12" s="1" t="s">
        <v>93</v>
      </c>
      <c r="G12" s="1">
        <v>0.25447559709242001</v>
      </c>
      <c r="H12" s="1">
        <v>0.90160880149048706</v>
      </c>
      <c r="I12" s="1">
        <v>0.85207082564802405</v>
      </c>
      <c r="J12" s="1">
        <v>0.9447035269456</v>
      </c>
      <c r="K12" s="1">
        <v>0.90179275823607796</v>
      </c>
      <c r="L12" s="1">
        <v>0.827572674348653</v>
      </c>
      <c r="M12" s="1">
        <v>0.97033982653464401</v>
      </c>
      <c r="N12" s="1">
        <v>0.96633887697207699</v>
      </c>
      <c r="O12" s="1">
        <v>0.94501192751267504</v>
      </c>
      <c r="P12" s="1">
        <v>0.98347100433565804</v>
      </c>
      <c r="Q12" s="1">
        <v>0.90142491978027905</v>
      </c>
      <c r="R12" s="1">
        <v>0.84206351432322102</v>
      </c>
      <c r="S12" s="1">
        <v>0.95105179997339895</v>
      </c>
      <c r="T12" s="1">
        <v>0.966473494557747</v>
      </c>
      <c r="U12" s="1">
        <v>0.93630677787444005</v>
      </c>
      <c r="V12" s="1">
        <v>0.99061628967455095</v>
      </c>
      <c r="W12" s="1">
        <v>0.25447559709242001</v>
      </c>
      <c r="X12" s="1">
        <v>0.23208519514229001</v>
      </c>
      <c r="Y12" s="1">
        <v>0.28037318423055801</v>
      </c>
      <c r="Z12" s="1">
        <v>0.86801501694028105</v>
      </c>
      <c r="AA12" s="1">
        <v>0.80106786891574799</v>
      </c>
      <c r="AB12" s="1">
        <v>0.92676238826073298</v>
      </c>
      <c r="AC12" s="1">
        <v>0.933330828469213</v>
      </c>
      <c r="AD12" s="1">
        <v>0.89838383897070195</v>
      </c>
      <c r="AE12" s="1">
        <v>0.96186639264879104</v>
      </c>
      <c r="AF12" s="1">
        <v>0.96757823170002899</v>
      </c>
      <c r="AG12" s="1">
        <v>0.93324280050449404</v>
      </c>
      <c r="AH12" s="1">
        <v>0.99148412069161296</v>
      </c>
      <c r="AI12" s="1">
        <v>300</v>
      </c>
      <c r="AJ12" s="1">
        <v>148</v>
      </c>
      <c r="AK12" s="1">
        <v>152</v>
      </c>
      <c r="AL12" s="1">
        <v>134</v>
      </c>
      <c r="AM12" s="1">
        <v>1</v>
      </c>
      <c r="AN12" s="1">
        <v>3</v>
      </c>
      <c r="AO12" s="1">
        <v>4</v>
      </c>
      <c r="AP12" s="1">
        <v>12</v>
      </c>
      <c r="AQ12" s="1">
        <v>1</v>
      </c>
      <c r="AR12" s="1">
        <v>1</v>
      </c>
      <c r="AS12" s="1">
        <v>144</v>
      </c>
      <c r="AT12" s="1">
        <v>139</v>
      </c>
      <c r="AU12" s="1">
        <v>12</v>
      </c>
      <c r="AV12" s="1">
        <v>0</v>
      </c>
      <c r="AW12" s="1">
        <v>149</v>
      </c>
      <c r="AX12" s="1">
        <v>0.92003909199946698</v>
      </c>
      <c r="AY12" s="1">
        <v>0.87352445193929196</v>
      </c>
      <c r="AZ12" s="1">
        <v>0.96</v>
      </c>
      <c r="BA12" s="1">
        <v>744.5</v>
      </c>
      <c r="BB12" s="1">
        <v>912.58</v>
      </c>
      <c r="BC12" s="1">
        <v>142</v>
      </c>
      <c r="BD12" s="1">
        <v>158</v>
      </c>
      <c r="BE12" s="1">
        <v>0.84011408340618499</v>
      </c>
      <c r="BF12" s="1">
        <v>0.94504345245139199</v>
      </c>
      <c r="BG12" s="1">
        <v>0.92769749217556396</v>
      </c>
      <c r="BH12" s="1">
        <v>0.98964646326777395</v>
      </c>
      <c r="BI12" s="1">
        <v>0.827572674348653</v>
      </c>
      <c r="BJ12" s="1">
        <v>0.92769749217556396</v>
      </c>
      <c r="BK12" s="1">
        <v>0.97033982653464401</v>
      </c>
      <c r="BL12" s="1">
        <v>0.98964646326777395</v>
      </c>
      <c r="BM12" s="1">
        <v>3</v>
      </c>
      <c r="BN12" s="4" t="s">
        <v>167</v>
      </c>
      <c r="BO12" s="4" t="s">
        <v>85</v>
      </c>
      <c r="BP12" s="4" t="s">
        <v>82</v>
      </c>
      <c r="BQ12" s="4" t="s">
        <v>111</v>
      </c>
      <c r="BR12" s="4" t="s">
        <v>86</v>
      </c>
      <c r="BS12" s="5">
        <v>0.254</v>
      </c>
      <c r="BT12" s="6" t="s">
        <v>198</v>
      </c>
      <c r="BU12" s="6" t="s">
        <v>199</v>
      </c>
      <c r="BV12" s="7">
        <v>0.96799999999999997</v>
      </c>
      <c r="BW12" s="7">
        <v>0.90100000000000002</v>
      </c>
      <c r="BX12" s="7">
        <v>0.96599999999999997</v>
      </c>
      <c r="BY12" s="7">
        <v>0.90200000000000002</v>
      </c>
      <c r="BZ12" s="7">
        <v>0.93300000000000005</v>
      </c>
      <c r="CA12" s="7">
        <v>0.86799999999999999</v>
      </c>
      <c r="CB12" s="7">
        <v>0.92</v>
      </c>
    </row>
    <row r="13" spans="1:80" x14ac:dyDescent="0.2">
      <c r="A13" s="1" t="s">
        <v>166</v>
      </c>
      <c r="B13" s="1" t="s">
        <v>81</v>
      </c>
      <c r="C13" s="1" t="s">
        <v>82</v>
      </c>
      <c r="D13" s="1" t="s">
        <v>114</v>
      </c>
      <c r="E13" s="1" t="s">
        <v>93</v>
      </c>
      <c r="F13" s="1" t="s">
        <v>93</v>
      </c>
      <c r="G13" s="1">
        <v>0.169207338179301</v>
      </c>
      <c r="H13" s="1">
        <v>0.78273653946680599</v>
      </c>
      <c r="I13" s="1">
        <v>0.71978859443540899</v>
      </c>
      <c r="J13" s="1">
        <v>0.84066395034978203</v>
      </c>
      <c r="K13" s="1">
        <v>0.98019801980197996</v>
      </c>
      <c r="L13" s="1">
        <v>0.94949494949494895</v>
      </c>
      <c r="M13" s="1">
        <v>1</v>
      </c>
      <c r="N13" s="1">
        <v>0.89320711952536502</v>
      </c>
      <c r="O13" s="1">
        <v>0.86625072117260404</v>
      </c>
      <c r="P13" s="1">
        <v>0.918592611949547</v>
      </c>
      <c r="Q13" s="1">
        <v>0.65149290259422399</v>
      </c>
      <c r="R13" s="1">
        <v>0.57054116748484496</v>
      </c>
      <c r="S13" s="1">
        <v>0.73327189852347596</v>
      </c>
      <c r="T13" s="1">
        <v>0.99550503361937703</v>
      </c>
      <c r="U13" s="1">
        <v>0.98848674452403995</v>
      </c>
      <c r="V13" s="1">
        <v>1</v>
      </c>
      <c r="W13" s="1">
        <v>0.169207338179301</v>
      </c>
      <c r="X13" s="1">
        <v>0.15008013838150699</v>
      </c>
      <c r="Y13" s="1">
        <v>0.18800815353255601</v>
      </c>
      <c r="Z13" s="1">
        <v>0.75172556336946805</v>
      </c>
      <c r="AA13" s="1">
        <v>0.69007142090354201</v>
      </c>
      <c r="AB13" s="1">
        <v>0.81177202862564501</v>
      </c>
      <c r="AC13" s="1">
        <v>0.78814108318062903</v>
      </c>
      <c r="AD13" s="1">
        <v>0.72573694094393204</v>
      </c>
      <c r="AE13" s="1">
        <v>0.84518407722559696</v>
      </c>
      <c r="AF13" s="1">
        <v>0.99732657243265999</v>
      </c>
      <c r="AG13" s="1">
        <v>0.99276939202176795</v>
      </c>
      <c r="AH13" s="1">
        <v>1</v>
      </c>
      <c r="AI13" s="1">
        <v>300</v>
      </c>
      <c r="AJ13" s="1">
        <v>148</v>
      </c>
      <c r="AK13" s="1">
        <v>152</v>
      </c>
      <c r="AL13" s="1">
        <v>99</v>
      </c>
      <c r="AM13" s="1">
        <v>0</v>
      </c>
      <c r="AN13" s="1">
        <v>2</v>
      </c>
      <c r="AO13" s="1">
        <v>0</v>
      </c>
      <c r="AP13" s="1">
        <v>47</v>
      </c>
      <c r="AQ13" s="1">
        <v>2</v>
      </c>
      <c r="AR13" s="1">
        <v>2</v>
      </c>
      <c r="AS13" s="1">
        <v>148</v>
      </c>
      <c r="AT13" s="1">
        <v>139</v>
      </c>
      <c r="AU13" s="1">
        <v>12</v>
      </c>
      <c r="AV13" s="1">
        <v>0</v>
      </c>
      <c r="AW13" s="1">
        <v>149</v>
      </c>
      <c r="AX13" s="1">
        <v>0.92003909199946698</v>
      </c>
      <c r="AY13" s="1">
        <v>0.87352445193929196</v>
      </c>
      <c r="AZ13" s="1">
        <v>0.95998755168274597</v>
      </c>
      <c r="BA13" s="1">
        <v>744.5</v>
      </c>
      <c r="BB13" s="1">
        <v>912.58</v>
      </c>
      <c r="BC13" s="1">
        <v>101</v>
      </c>
      <c r="BD13" s="1">
        <v>199</v>
      </c>
      <c r="BE13" s="1">
        <v>0.93029491020507604</v>
      </c>
      <c r="BF13" s="1">
        <v>0.99759282709074204</v>
      </c>
      <c r="BG13" s="1">
        <v>0.84322010466236297</v>
      </c>
      <c r="BH13" s="1">
        <v>0.93347996856583304</v>
      </c>
      <c r="BI13" s="1">
        <v>0.93029491020507604</v>
      </c>
      <c r="BJ13" s="1">
        <v>0.84322010466236297</v>
      </c>
      <c r="BK13" s="1">
        <v>1</v>
      </c>
      <c r="BL13" s="1">
        <v>0.93347996856583304</v>
      </c>
      <c r="BM13" s="1">
        <v>3</v>
      </c>
      <c r="BN13" s="4" t="s">
        <v>167</v>
      </c>
      <c r="BO13" s="4" t="s">
        <v>85</v>
      </c>
      <c r="BP13" s="4" t="s">
        <v>82</v>
      </c>
      <c r="BQ13" s="4" t="s">
        <v>114</v>
      </c>
      <c r="BR13" s="4" t="s">
        <v>86</v>
      </c>
      <c r="BS13" s="5">
        <v>0.16900000000000001</v>
      </c>
      <c r="BT13" s="6" t="s">
        <v>200</v>
      </c>
      <c r="BU13" s="6" t="s">
        <v>201</v>
      </c>
      <c r="BV13" s="7">
        <v>0.997</v>
      </c>
      <c r="BW13" s="7">
        <v>0.65100000000000002</v>
      </c>
      <c r="BX13" s="7">
        <v>0.996</v>
      </c>
      <c r="BY13" s="7">
        <v>0.78300000000000003</v>
      </c>
      <c r="BZ13" s="7">
        <v>0.78800000000000003</v>
      </c>
      <c r="CA13" s="7">
        <v>0.752</v>
      </c>
      <c r="CB13" s="7">
        <v>0.92</v>
      </c>
    </row>
    <row r="14" spans="1:80" x14ac:dyDescent="0.2">
      <c r="A14" s="1" t="s">
        <v>139</v>
      </c>
      <c r="B14" s="1" t="s">
        <v>81</v>
      </c>
      <c r="C14" s="1" t="s">
        <v>82</v>
      </c>
      <c r="D14" s="1" t="s">
        <v>92</v>
      </c>
      <c r="E14" s="1" t="s">
        <v>93</v>
      </c>
      <c r="F14" s="1" t="s">
        <v>93</v>
      </c>
      <c r="G14" s="1">
        <v>1.8990194032964699E-2</v>
      </c>
      <c r="H14" s="1">
        <v>0.77845522034433601</v>
      </c>
      <c r="I14" s="1">
        <v>0.57513313489045703</v>
      </c>
      <c r="J14" s="1">
        <v>0.94029850746268495</v>
      </c>
      <c r="K14" s="1">
        <v>0.90243902439024404</v>
      </c>
      <c r="L14" s="1">
        <v>0.84745762711864403</v>
      </c>
      <c r="M14" s="1">
        <v>0.952380952380952</v>
      </c>
      <c r="N14" s="1">
        <v>0.99194523725465999</v>
      </c>
      <c r="O14" s="1">
        <v>0.97703112108664703</v>
      </c>
      <c r="P14" s="1">
        <v>0.99922834654327997</v>
      </c>
      <c r="Q14" s="1">
        <v>0.68442395289411995</v>
      </c>
      <c r="R14" s="1">
        <v>0.425123203399769</v>
      </c>
      <c r="S14" s="1">
        <v>0.95901639344262102</v>
      </c>
      <c r="T14" s="1">
        <v>0.998099716384097</v>
      </c>
      <c r="U14" s="1">
        <v>0.99699768487876195</v>
      </c>
      <c r="V14" s="1">
        <v>0.999078588102147</v>
      </c>
      <c r="W14" s="1">
        <v>1.8990194032964699E-2</v>
      </c>
      <c r="X14" s="1">
        <v>1.7521342591380301E-2</v>
      </c>
      <c r="Y14" s="1">
        <v>2.0366580696139301E-2</v>
      </c>
      <c r="Z14" s="1">
        <v>0.78130559194374705</v>
      </c>
      <c r="AA14" s="1">
        <v>0.60457965457961305</v>
      </c>
      <c r="AB14" s="1">
        <v>0.939400107461415</v>
      </c>
      <c r="AC14" s="1">
        <v>0.81217778639974603</v>
      </c>
      <c r="AD14" s="1">
        <v>0.596419860912489</v>
      </c>
      <c r="AE14" s="1">
        <v>0.97811111769242998</v>
      </c>
      <c r="AF14" s="1">
        <v>0.99856973036588004</v>
      </c>
      <c r="AG14" s="1">
        <v>0.997114126449684</v>
      </c>
      <c r="AH14" s="1">
        <v>0.999391484852588</v>
      </c>
      <c r="AI14" s="1">
        <v>300</v>
      </c>
      <c r="AJ14" s="1">
        <v>121</v>
      </c>
      <c r="AK14" s="1">
        <v>179</v>
      </c>
      <c r="AL14" s="1">
        <v>111</v>
      </c>
      <c r="AM14" s="1">
        <v>0</v>
      </c>
      <c r="AN14" s="1">
        <v>12</v>
      </c>
      <c r="AO14" s="1">
        <v>0</v>
      </c>
      <c r="AP14" s="1">
        <v>9</v>
      </c>
      <c r="AQ14" s="1">
        <v>1</v>
      </c>
      <c r="AR14" s="1">
        <v>18</v>
      </c>
      <c r="AS14" s="1">
        <v>149</v>
      </c>
      <c r="AT14" s="1">
        <v>117</v>
      </c>
      <c r="AU14" s="1">
        <v>3</v>
      </c>
      <c r="AV14" s="1">
        <v>7</v>
      </c>
      <c r="AW14" s="1">
        <v>173</v>
      </c>
      <c r="AX14" s="1">
        <v>0.93093922651933703</v>
      </c>
      <c r="AY14" s="1">
        <v>0.88721274495982005</v>
      </c>
      <c r="AZ14" s="1">
        <v>0.97179930977444196</v>
      </c>
      <c r="BA14" s="1">
        <v>864.5</v>
      </c>
      <c r="BB14" s="1">
        <v>999.15</v>
      </c>
      <c r="BC14" s="1">
        <v>123</v>
      </c>
      <c r="BD14" s="1">
        <v>177</v>
      </c>
      <c r="BE14" s="1">
        <v>0.83578145654946501</v>
      </c>
      <c r="BF14" s="1">
        <v>0.94856541020872198</v>
      </c>
      <c r="BG14" s="1">
        <v>0.96892531286817896</v>
      </c>
      <c r="BH14" s="1">
        <v>0.99985697176632504</v>
      </c>
      <c r="BI14" s="1">
        <v>0.83578145654946501</v>
      </c>
      <c r="BJ14" s="1">
        <v>0.96892531286817896</v>
      </c>
      <c r="BK14" s="1">
        <v>0.952380952380952</v>
      </c>
      <c r="BL14" s="1">
        <v>0.99985697176632504</v>
      </c>
      <c r="BM14" s="1">
        <v>4</v>
      </c>
      <c r="BN14" s="8" t="s">
        <v>140</v>
      </c>
      <c r="BO14" s="8" t="s">
        <v>85</v>
      </c>
      <c r="BP14" s="8" t="s">
        <v>82</v>
      </c>
      <c r="BQ14" s="8" t="s">
        <v>92</v>
      </c>
      <c r="BR14" s="8" t="s">
        <v>86</v>
      </c>
      <c r="BS14" s="7">
        <v>1.9E-2</v>
      </c>
      <c r="BT14" s="9" t="s">
        <v>143</v>
      </c>
      <c r="BU14" s="9" t="s">
        <v>144</v>
      </c>
      <c r="BV14" s="7">
        <v>0.999</v>
      </c>
      <c r="BW14" s="7">
        <v>0.68400000000000005</v>
      </c>
      <c r="BX14" s="7">
        <v>0.998</v>
      </c>
      <c r="BY14" s="7">
        <v>0.77800000000000002</v>
      </c>
      <c r="BZ14" s="7">
        <v>0.81200000000000006</v>
      </c>
      <c r="CA14" s="7">
        <v>0.78100000000000003</v>
      </c>
      <c r="CB14" s="7">
        <v>0.93100000000000005</v>
      </c>
    </row>
    <row r="15" spans="1:80" x14ac:dyDescent="0.2">
      <c r="A15" s="1" t="s">
        <v>139</v>
      </c>
      <c r="B15" s="1" t="s">
        <v>81</v>
      </c>
      <c r="C15" s="1" t="s">
        <v>82</v>
      </c>
      <c r="D15" s="1" t="s">
        <v>96</v>
      </c>
      <c r="E15" s="1" t="s">
        <v>93</v>
      </c>
      <c r="F15" s="1" t="s">
        <v>93</v>
      </c>
      <c r="G15" s="1">
        <v>1.8835802211558499E-2</v>
      </c>
      <c r="H15" s="1">
        <v>0.77415673345168501</v>
      </c>
      <c r="I15" s="1">
        <v>0.57618619086034495</v>
      </c>
      <c r="J15" s="1">
        <v>0.93723849372384804</v>
      </c>
      <c r="K15" s="1">
        <v>0.90163934426229497</v>
      </c>
      <c r="L15" s="1">
        <v>0.84677419354838701</v>
      </c>
      <c r="M15" s="1">
        <v>0.95081967213114704</v>
      </c>
      <c r="N15" s="1">
        <v>0.99178914897477799</v>
      </c>
      <c r="O15" s="1">
        <v>0.977165947578299</v>
      </c>
      <c r="P15" s="1">
        <v>0.99910778658075206</v>
      </c>
      <c r="Q15" s="1">
        <v>0.678257971336517</v>
      </c>
      <c r="R15" s="1">
        <v>0.42569713920693097</v>
      </c>
      <c r="S15" s="1">
        <v>0.952755905511811</v>
      </c>
      <c r="T15" s="1">
        <v>0.998099716384097</v>
      </c>
      <c r="U15" s="1">
        <v>0.99703204566252601</v>
      </c>
      <c r="V15" s="1">
        <v>0.99906669475528098</v>
      </c>
      <c r="W15" s="1">
        <v>1.8835802211558499E-2</v>
      </c>
      <c r="X15" s="1">
        <v>1.73317270481818E-2</v>
      </c>
      <c r="Y15" s="1">
        <v>2.0227327080017701E-2</v>
      </c>
      <c r="Z15" s="1">
        <v>0.77735270619554597</v>
      </c>
      <c r="AA15" s="1">
        <v>0.60572502343074697</v>
      </c>
      <c r="AB15" s="1">
        <v>0.93621356525703903</v>
      </c>
      <c r="AC15" s="1">
        <v>0.80782435267401098</v>
      </c>
      <c r="AD15" s="1">
        <v>0.59706465854514401</v>
      </c>
      <c r="AE15" s="1">
        <v>0.974822669535645</v>
      </c>
      <c r="AF15" s="1">
        <v>0.99858156499516604</v>
      </c>
      <c r="AG15" s="1">
        <v>0.99711484204908296</v>
      </c>
      <c r="AH15" s="1">
        <v>0.99938830768912401</v>
      </c>
      <c r="AI15" s="1">
        <v>300</v>
      </c>
      <c r="AJ15" s="1">
        <v>121</v>
      </c>
      <c r="AK15" s="1">
        <v>179</v>
      </c>
      <c r="AL15" s="1">
        <v>110</v>
      </c>
      <c r="AM15" s="1">
        <v>0</v>
      </c>
      <c r="AN15" s="1">
        <v>12</v>
      </c>
      <c r="AO15" s="1">
        <v>0</v>
      </c>
      <c r="AP15" s="1">
        <v>10</v>
      </c>
      <c r="AQ15" s="1">
        <v>1</v>
      </c>
      <c r="AR15" s="1">
        <v>18</v>
      </c>
      <c r="AS15" s="1">
        <v>149</v>
      </c>
      <c r="AT15" s="1">
        <v>117</v>
      </c>
      <c r="AU15" s="1">
        <v>3</v>
      </c>
      <c r="AV15" s="1">
        <v>7</v>
      </c>
      <c r="AW15" s="1">
        <v>173</v>
      </c>
      <c r="AX15" s="1">
        <v>0.93093922651933703</v>
      </c>
      <c r="AY15" s="1">
        <v>0.88499004455611197</v>
      </c>
      <c r="AZ15" s="1">
        <v>0.97150459310183301</v>
      </c>
      <c r="BA15" s="1">
        <v>864.5</v>
      </c>
      <c r="BB15" s="1">
        <v>999.15</v>
      </c>
      <c r="BC15" s="1">
        <v>122</v>
      </c>
      <c r="BD15" s="1">
        <v>178</v>
      </c>
      <c r="BE15" s="1">
        <v>0.83448661316220996</v>
      </c>
      <c r="BF15" s="1">
        <v>0.94813500703248899</v>
      </c>
      <c r="BG15" s="1">
        <v>0.96909765204735598</v>
      </c>
      <c r="BH15" s="1">
        <v>0.99985777523858399</v>
      </c>
      <c r="BI15" s="1">
        <v>0.83448661316220996</v>
      </c>
      <c r="BJ15" s="1">
        <v>0.96909765204735598</v>
      </c>
      <c r="BK15" s="1">
        <v>0.95081967213114704</v>
      </c>
      <c r="BL15" s="1">
        <v>0.99985777523858399</v>
      </c>
      <c r="BM15" s="1">
        <v>4</v>
      </c>
      <c r="BN15" s="8" t="s">
        <v>140</v>
      </c>
      <c r="BO15" s="8" t="s">
        <v>85</v>
      </c>
      <c r="BP15" s="8" t="s">
        <v>82</v>
      </c>
      <c r="BQ15" s="8" t="s">
        <v>96</v>
      </c>
      <c r="BR15" s="8" t="s">
        <v>86</v>
      </c>
      <c r="BS15" s="7">
        <v>1.9E-2</v>
      </c>
      <c r="BT15" s="9" t="s">
        <v>145</v>
      </c>
      <c r="BU15" s="9" t="s">
        <v>144</v>
      </c>
      <c r="BV15" s="7">
        <v>0.999</v>
      </c>
      <c r="BW15" s="7">
        <v>0.67800000000000005</v>
      </c>
      <c r="BX15" s="7">
        <v>0.998</v>
      </c>
      <c r="BY15" s="7">
        <v>0.77400000000000002</v>
      </c>
      <c r="BZ15" s="7">
        <v>0.80800000000000005</v>
      </c>
      <c r="CA15" s="7">
        <v>0.77700000000000002</v>
      </c>
      <c r="CB15" s="7">
        <v>0.93100000000000005</v>
      </c>
    </row>
    <row r="16" spans="1:80" x14ac:dyDescent="0.2">
      <c r="A16" s="1" t="s">
        <v>139</v>
      </c>
      <c r="B16" s="1" t="s">
        <v>81</v>
      </c>
      <c r="C16" s="1" t="s">
        <v>82</v>
      </c>
      <c r="D16" s="1" t="s">
        <v>111</v>
      </c>
      <c r="E16" s="1" t="s">
        <v>93</v>
      </c>
      <c r="F16" s="1" t="s">
        <v>93</v>
      </c>
      <c r="G16" s="1">
        <v>2.0070936782808298E-2</v>
      </c>
      <c r="H16" s="1">
        <v>0.79403058707449203</v>
      </c>
      <c r="I16" s="1">
        <v>0.591184155687279</v>
      </c>
      <c r="J16" s="1">
        <v>0.952380952380951</v>
      </c>
      <c r="K16" s="1">
        <v>0.89230769230769202</v>
      </c>
      <c r="L16" s="1">
        <v>0.837209302325581</v>
      </c>
      <c r="M16" s="1">
        <v>0.94202898550724601</v>
      </c>
      <c r="N16" s="1">
        <v>0.99272412422642398</v>
      </c>
      <c r="O16" s="1">
        <v>0.97786441525721401</v>
      </c>
      <c r="P16" s="1">
        <v>0.99983908630584994</v>
      </c>
      <c r="Q16" s="1">
        <v>0.71525386068214303</v>
      </c>
      <c r="R16" s="1">
        <v>0.44627143331001701</v>
      </c>
      <c r="S16" s="1">
        <v>0.99137931034482596</v>
      </c>
      <c r="T16" s="1">
        <v>0.99778300244811302</v>
      </c>
      <c r="U16" s="1">
        <v>0.99663389456285101</v>
      </c>
      <c r="V16" s="1">
        <v>0.99881730771930299</v>
      </c>
      <c r="W16" s="1">
        <v>2.0070936782808298E-2</v>
      </c>
      <c r="X16" s="1">
        <v>1.8740323058846799E-2</v>
      </c>
      <c r="Y16" s="1">
        <v>2.1268261112081001E-2</v>
      </c>
      <c r="Z16" s="1">
        <v>0.79439304518100995</v>
      </c>
      <c r="AA16" s="1">
        <v>0.61609590902617595</v>
      </c>
      <c r="AB16" s="1">
        <v>0.95170537344741701</v>
      </c>
      <c r="AC16" s="1">
        <v>0.83337740266020499</v>
      </c>
      <c r="AD16" s="1">
        <v>0.61682264049273405</v>
      </c>
      <c r="AE16" s="1">
        <v>0.99431401361888005</v>
      </c>
      <c r="AF16" s="1">
        <v>0.99823503511193401</v>
      </c>
      <c r="AG16" s="1">
        <v>0.99645918857572302</v>
      </c>
      <c r="AH16" s="1">
        <v>0.99921704663581801</v>
      </c>
      <c r="AI16" s="1">
        <v>300</v>
      </c>
      <c r="AJ16" s="1">
        <v>121</v>
      </c>
      <c r="AK16" s="1">
        <v>179</v>
      </c>
      <c r="AL16" s="1">
        <v>116</v>
      </c>
      <c r="AM16" s="1">
        <v>0</v>
      </c>
      <c r="AN16" s="1">
        <v>14</v>
      </c>
      <c r="AO16" s="1">
        <v>0</v>
      </c>
      <c r="AP16" s="1">
        <v>4</v>
      </c>
      <c r="AQ16" s="1">
        <v>1</v>
      </c>
      <c r="AR16" s="1">
        <v>16</v>
      </c>
      <c r="AS16" s="1">
        <v>149</v>
      </c>
      <c r="AT16" s="1">
        <v>117</v>
      </c>
      <c r="AU16" s="1">
        <v>3</v>
      </c>
      <c r="AV16" s="1">
        <v>7</v>
      </c>
      <c r="AW16" s="1">
        <v>173</v>
      </c>
      <c r="AX16" s="1">
        <v>0.93093922651933703</v>
      </c>
      <c r="AY16" s="1">
        <v>0.88543084298247399</v>
      </c>
      <c r="AZ16" s="1">
        <v>0.97150591252315099</v>
      </c>
      <c r="BA16" s="1">
        <v>864.5</v>
      </c>
      <c r="BB16" s="1">
        <v>999.15</v>
      </c>
      <c r="BC16" s="1">
        <v>130</v>
      </c>
      <c r="BD16" s="1">
        <v>170</v>
      </c>
      <c r="BE16" s="1">
        <v>0.82591447938693097</v>
      </c>
      <c r="BF16" s="1">
        <v>0.93985931289636504</v>
      </c>
      <c r="BG16" s="1">
        <v>0.96766293393949498</v>
      </c>
      <c r="BH16" s="1">
        <v>0.99985108280700596</v>
      </c>
      <c r="BI16" s="1">
        <v>0.82591447938693097</v>
      </c>
      <c r="BJ16" s="1">
        <v>0.96766293393949498</v>
      </c>
      <c r="BK16" s="1">
        <v>0.94202898550724601</v>
      </c>
      <c r="BL16" s="1">
        <v>0.99985108280700596</v>
      </c>
      <c r="BM16" s="1">
        <v>4</v>
      </c>
      <c r="BN16" s="8" t="s">
        <v>140</v>
      </c>
      <c r="BO16" s="8" t="s">
        <v>85</v>
      </c>
      <c r="BP16" s="8" t="s">
        <v>82</v>
      </c>
      <c r="BQ16" s="8" t="s">
        <v>111</v>
      </c>
      <c r="BR16" s="8" t="s">
        <v>86</v>
      </c>
      <c r="BS16" s="7">
        <v>0.02</v>
      </c>
      <c r="BT16" s="9" t="s">
        <v>153</v>
      </c>
      <c r="BU16" s="9" t="s">
        <v>152</v>
      </c>
      <c r="BV16" s="7">
        <v>0.998</v>
      </c>
      <c r="BW16" s="7">
        <v>0.71499999999999997</v>
      </c>
      <c r="BX16" s="7">
        <v>0.998</v>
      </c>
      <c r="BY16" s="7">
        <v>0.79400000000000004</v>
      </c>
      <c r="BZ16" s="7">
        <v>0.83299999999999996</v>
      </c>
      <c r="CA16" s="7">
        <v>0.79400000000000004</v>
      </c>
      <c r="CB16" s="7">
        <v>0.93100000000000005</v>
      </c>
    </row>
    <row r="17" spans="1:80" x14ac:dyDescent="0.2">
      <c r="A17" s="1" t="s">
        <v>139</v>
      </c>
      <c r="B17" s="1" t="s">
        <v>81</v>
      </c>
      <c r="C17" s="1" t="s">
        <v>82</v>
      </c>
      <c r="D17" s="1" t="s">
        <v>114</v>
      </c>
      <c r="E17" s="1" t="s">
        <v>93</v>
      </c>
      <c r="F17" s="1" t="s">
        <v>93</v>
      </c>
      <c r="G17" s="1">
        <v>1.7755059461715E-2</v>
      </c>
      <c r="H17" s="1">
        <v>0.75762992816979102</v>
      </c>
      <c r="I17" s="1">
        <v>0.55762828093148098</v>
      </c>
      <c r="J17" s="1">
        <v>0.92366412213740501</v>
      </c>
      <c r="K17" s="1">
        <v>0.91304347826086896</v>
      </c>
      <c r="L17" s="1">
        <v>0.85714285714285698</v>
      </c>
      <c r="M17" s="1">
        <v>0.96154761904761898</v>
      </c>
      <c r="N17" s="1">
        <v>0.99101227015583704</v>
      </c>
      <c r="O17" s="1">
        <v>0.97631204440040997</v>
      </c>
      <c r="P17" s="1">
        <v>0.99844802731772297</v>
      </c>
      <c r="Q17" s="1">
        <v>0.64742806354849203</v>
      </c>
      <c r="R17" s="1">
        <v>0.40361175040479702</v>
      </c>
      <c r="S17" s="1">
        <v>0.91743119266054796</v>
      </c>
      <c r="T17" s="1">
        <v>0.99841643032008098</v>
      </c>
      <c r="U17" s="1">
        <v>0.99736536188802205</v>
      </c>
      <c r="V17" s="1">
        <v>0.99931034510648997</v>
      </c>
      <c r="W17" s="1">
        <v>1.7755059461715E-2</v>
      </c>
      <c r="X17" s="1">
        <v>1.6145905266776998E-2</v>
      </c>
      <c r="Y17" s="1">
        <v>1.92468182766534E-2</v>
      </c>
      <c r="Z17" s="1">
        <v>0.76412003459218503</v>
      </c>
      <c r="AA17" s="1">
        <v>0.59305426484025203</v>
      </c>
      <c r="AB17" s="1">
        <v>0.922275208509719</v>
      </c>
      <c r="AC17" s="1">
        <v>0.78564232140130696</v>
      </c>
      <c r="AD17" s="1">
        <v>0.57501401023883403</v>
      </c>
      <c r="AE17" s="1">
        <v>0.95631887415809103</v>
      </c>
      <c r="AF17" s="1">
        <v>0.99888667804614395</v>
      </c>
      <c r="AG17" s="1">
        <v>0.99768515911490296</v>
      </c>
      <c r="AH17" s="1">
        <v>0.99956995503108204</v>
      </c>
      <c r="AI17" s="1">
        <v>300</v>
      </c>
      <c r="AJ17" s="1">
        <v>121</v>
      </c>
      <c r="AK17" s="1">
        <v>179</v>
      </c>
      <c r="AL17" s="1">
        <v>105</v>
      </c>
      <c r="AM17" s="1">
        <v>0</v>
      </c>
      <c r="AN17" s="1">
        <v>10</v>
      </c>
      <c r="AO17" s="1">
        <v>0</v>
      </c>
      <c r="AP17" s="1">
        <v>15</v>
      </c>
      <c r="AQ17" s="1">
        <v>1</v>
      </c>
      <c r="AR17" s="1">
        <v>20</v>
      </c>
      <c r="AS17" s="1">
        <v>149</v>
      </c>
      <c r="AT17" s="1">
        <v>117</v>
      </c>
      <c r="AU17" s="1">
        <v>3</v>
      </c>
      <c r="AV17" s="1">
        <v>7</v>
      </c>
      <c r="AW17" s="1">
        <v>173</v>
      </c>
      <c r="AX17" s="1">
        <v>0.93093922651933703</v>
      </c>
      <c r="AY17" s="1">
        <v>0.885184194050047</v>
      </c>
      <c r="AZ17" s="1">
        <v>0.97160714220942801</v>
      </c>
      <c r="BA17" s="1">
        <v>864.5</v>
      </c>
      <c r="BB17" s="1">
        <v>999.15</v>
      </c>
      <c r="BC17" s="1">
        <v>115</v>
      </c>
      <c r="BD17" s="1">
        <v>185</v>
      </c>
      <c r="BE17" s="1">
        <v>0.84589476878459102</v>
      </c>
      <c r="BF17" s="1">
        <v>0.95751082270903198</v>
      </c>
      <c r="BG17" s="1">
        <v>0.96149521386153103</v>
      </c>
      <c r="BH17" s="1">
        <v>0.99868806870774396</v>
      </c>
      <c r="BI17" s="1">
        <v>0.84589476878459102</v>
      </c>
      <c r="BJ17" s="1">
        <v>0.96149521386153103</v>
      </c>
      <c r="BK17" s="1">
        <v>0.96154761904761898</v>
      </c>
      <c r="BL17" s="1">
        <v>0.99868806870774396</v>
      </c>
      <c r="BM17" s="1">
        <v>4</v>
      </c>
      <c r="BN17" s="8" t="s">
        <v>140</v>
      </c>
      <c r="BO17" s="8" t="s">
        <v>85</v>
      </c>
      <c r="BP17" s="8" t="s">
        <v>82</v>
      </c>
      <c r="BQ17" s="8" t="s">
        <v>114</v>
      </c>
      <c r="BR17" s="8" t="s">
        <v>86</v>
      </c>
      <c r="BS17" s="7">
        <v>1.7999999999999999E-2</v>
      </c>
      <c r="BT17" s="9" t="s">
        <v>154</v>
      </c>
      <c r="BU17" s="9" t="s">
        <v>147</v>
      </c>
      <c r="BV17" s="7">
        <v>0.999</v>
      </c>
      <c r="BW17" s="7">
        <v>0.64700000000000002</v>
      </c>
      <c r="BX17" s="7">
        <v>0.998</v>
      </c>
      <c r="BY17" s="7">
        <v>0.75800000000000001</v>
      </c>
      <c r="BZ17" s="7">
        <v>0.78600000000000003</v>
      </c>
      <c r="CA17" s="7">
        <v>0.76400000000000001</v>
      </c>
      <c r="CB17" s="7">
        <v>0.93100000000000005</v>
      </c>
    </row>
  </sheetData>
  <sortState xmlns:xlrd2="http://schemas.microsoft.com/office/spreadsheetml/2017/richdata2" ref="A2:CB17">
    <sortCondition ref="BM2:BM17"/>
    <sortCondition descending="1" ref="D2:D17"/>
  </sortState>
  <conditionalFormatting sqref="BV2:CB17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66BB-85E5-234B-8D11-90AA93732DC6}">
  <dimension ref="A1:CB41"/>
  <sheetViews>
    <sheetView topLeftCell="BN1" workbookViewId="0">
      <selection activeCell="BR44" sqref="BR44"/>
    </sheetView>
  </sheetViews>
  <sheetFormatPr baseColWidth="10" defaultRowHeight="16" x14ac:dyDescent="0.2"/>
  <cols>
    <col min="1" max="65" width="0" style="1" hidden="1" customWidth="1"/>
    <col min="66" max="66" width="10.83203125" style="1"/>
    <col min="67" max="67" width="9.5" style="1" customWidth="1"/>
    <col min="68" max="68" width="7.83203125" style="1" customWidth="1"/>
    <col min="69" max="69" width="7" style="1" customWidth="1"/>
    <col min="70" max="70" width="20" style="1" customWidth="1"/>
    <col min="71" max="71" width="12.1640625" style="1" customWidth="1"/>
    <col min="72" max="73" width="18.83203125" style="1" customWidth="1"/>
    <col min="74" max="74" width="8.1640625" style="1" customWidth="1"/>
    <col min="75" max="75" width="12.6640625" style="1" customWidth="1"/>
    <col min="76" max="76" width="10.83203125" style="1"/>
    <col min="77" max="78" width="6.83203125" style="1" customWidth="1"/>
    <col min="79" max="79" width="7" style="1" customWidth="1"/>
    <col min="80" max="80" width="9.6640625" style="1" customWidth="1"/>
    <col min="81" max="16384" width="10.83203125" style="1"/>
  </cols>
  <sheetData>
    <row r="1" spans="1:80" s="77" customFormat="1" ht="55" customHeigh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2" spans="1:80" x14ac:dyDescent="0.2">
      <c r="A2" s="1" t="s">
        <v>80</v>
      </c>
      <c r="B2" s="1" t="s">
        <v>81</v>
      </c>
      <c r="C2" s="1" t="s">
        <v>82</v>
      </c>
      <c r="D2" s="1" t="s">
        <v>108</v>
      </c>
      <c r="E2" s="1">
        <v>149</v>
      </c>
      <c r="F2" s="1">
        <v>607</v>
      </c>
      <c r="G2" s="1">
        <v>0.24546952224052701</v>
      </c>
      <c r="H2" s="1">
        <v>0.96321070234113704</v>
      </c>
      <c r="I2" s="1">
        <v>0.94413300692314195</v>
      </c>
      <c r="J2" s="1">
        <v>0.98079635656270403</v>
      </c>
      <c r="K2" s="1">
        <v>0.96644295302013405</v>
      </c>
      <c r="L2" s="1">
        <v>0.93506493506493504</v>
      </c>
      <c r="M2" s="1">
        <v>0.99315068493150704</v>
      </c>
      <c r="N2" s="1">
        <v>0.98689956331877704</v>
      </c>
      <c r="O2" s="1">
        <v>0.98034934497816595</v>
      </c>
      <c r="P2" s="1">
        <v>0.99404856424507104</v>
      </c>
      <c r="Q2" s="1">
        <v>0.96</v>
      </c>
      <c r="R2" s="1">
        <v>0.94074073627822896</v>
      </c>
      <c r="S2" s="1">
        <v>0.981793265676983</v>
      </c>
      <c r="T2" s="1">
        <v>0.98905908096280104</v>
      </c>
      <c r="U2" s="1">
        <v>0.97905010095020994</v>
      </c>
      <c r="V2" s="1">
        <v>0.99774920253563704</v>
      </c>
      <c r="W2" s="1">
        <v>0.24546952224052701</v>
      </c>
      <c r="X2" s="1">
        <v>0.24546952224052701</v>
      </c>
      <c r="Y2" s="1">
        <v>0.24546952224052701</v>
      </c>
      <c r="Z2" s="1">
        <v>0.95119838750881602</v>
      </c>
      <c r="AA2" s="1">
        <v>0.92613294761682197</v>
      </c>
      <c r="AB2" s="1">
        <v>0.97454932510385395</v>
      </c>
      <c r="AC2" s="1">
        <v>0.97441625445455005</v>
      </c>
      <c r="AD2" s="1">
        <v>0.96279210146896299</v>
      </c>
      <c r="AE2" s="1">
        <v>0.98673804491281703</v>
      </c>
      <c r="AF2" s="1">
        <v>0.98927208582331305</v>
      </c>
      <c r="AG2" s="1">
        <v>0.97882257844137599</v>
      </c>
      <c r="AH2" s="1">
        <v>0.99784288645608299</v>
      </c>
      <c r="AI2" s="1">
        <v>307</v>
      </c>
      <c r="AJ2" s="1">
        <v>150</v>
      </c>
      <c r="AK2" s="1">
        <v>157</v>
      </c>
      <c r="AL2" s="1">
        <v>144</v>
      </c>
      <c r="AM2" s="1">
        <v>0</v>
      </c>
      <c r="AN2" s="1">
        <v>5</v>
      </c>
      <c r="AO2" s="1">
        <v>0</v>
      </c>
      <c r="AP2" s="1">
        <v>0</v>
      </c>
      <c r="AQ2" s="1">
        <v>6</v>
      </c>
      <c r="AR2" s="1">
        <v>3</v>
      </c>
      <c r="AS2" s="1">
        <v>149</v>
      </c>
      <c r="AT2" s="1">
        <v>147</v>
      </c>
      <c r="AU2" s="1">
        <v>4</v>
      </c>
      <c r="AV2" s="1">
        <v>13</v>
      </c>
      <c r="AW2" s="1">
        <v>143</v>
      </c>
      <c r="AX2" s="1">
        <v>0.88932714125156398</v>
      </c>
      <c r="AY2" s="1">
        <v>0.83700072612861398</v>
      </c>
      <c r="AZ2" s="1">
        <v>0.93503250206023403</v>
      </c>
      <c r="BA2" s="1">
        <v>966</v>
      </c>
      <c r="BB2" s="1">
        <v>1208.1596091205199</v>
      </c>
      <c r="BC2" s="1">
        <v>149</v>
      </c>
      <c r="BD2" s="1">
        <v>158</v>
      </c>
      <c r="BE2" s="1">
        <v>0.923428638625298</v>
      </c>
      <c r="BF2" s="1">
        <v>0.989015995029777</v>
      </c>
      <c r="BG2" s="1">
        <v>0.95502394524501499</v>
      </c>
      <c r="BH2" s="1">
        <v>0.99846333681367405</v>
      </c>
      <c r="BI2" s="1">
        <v>0.923428638625298</v>
      </c>
      <c r="BJ2" s="1">
        <v>0.95502394524501499</v>
      </c>
      <c r="BK2" s="1">
        <v>0.99315068493150704</v>
      </c>
      <c r="BL2" s="1">
        <v>0.99846333681367405</v>
      </c>
      <c r="BM2" s="1">
        <v>1</v>
      </c>
      <c r="BN2" s="4" t="s">
        <v>84</v>
      </c>
      <c r="BO2" s="4" t="s">
        <v>85</v>
      </c>
      <c r="BP2" s="4" t="s">
        <v>82</v>
      </c>
      <c r="BQ2" s="4" t="s">
        <v>108</v>
      </c>
      <c r="BR2" s="4" t="s">
        <v>86</v>
      </c>
      <c r="BS2" s="5">
        <v>0.245</v>
      </c>
      <c r="BT2" s="6" t="s">
        <v>109</v>
      </c>
      <c r="BU2" s="6" t="s">
        <v>110</v>
      </c>
      <c r="BV2" s="7">
        <v>0.98899999999999999</v>
      </c>
      <c r="BW2" s="7">
        <v>0.96</v>
      </c>
      <c r="BX2" s="7">
        <v>0.98899999999999999</v>
      </c>
      <c r="BY2" s="7">
        <v>0.96299999999999997</v>
      </c>
      <c r="BZ2" s="7">
        <v>0.97399999999999998</v>
      </c>
      <c r="CA2" s="7">
        <v>0.95099999999999996</v>
      </c>
      <c r="CB2" s="7">
        <v>0.88900000000000001</v>
      </c>
    </row>
    <row r="3" spans="1:80" x14ac:dyDescent="0.2">
      <c r="A3" s="1" t="s">
        <v>80</v>
      </c>
      <c r="B3" s="1" t="s">
        <v>81</v>
      </c>
      <c r="C3" s="1" t="s">
        <v>82</v>
      </c>
      <c r="D3" s="1" t="s">
        <v>119</v>
      </c>
      <c r="E3" s="1" t="s">
        <v>93</v>
      </c>
      <c r="F3" s="1" t="s">
        <v>93</v>
      </c>
      <c r="G3" s="1">
        <v>0.24509368968664599</v>
      </c>
      <c r="H3" s="1">
        <v>0.91063276198969201</v>
      </c>
      <c r="I3" s="1">
        <v>0.86241864012157399</v>
      </c>
      <c r="J3" s="1">
        <v>0.95067264573990995</v>
      </c>
      <c r="K3" s="1">
        <v>0.909762764733134</v>
      </c>
      <c r="L3" s="1">
        <v>0.83632975659918196</v>
      </c>
      <c r="M3" s="1">
        <v>0.96947143187601204</v>
      </c>
      <c r="N3" s="1">
        <v>0.97132324491418898</v>
      </c>
      <c r="O3" s="1">
        <v>0.95376865598258898</v>
      </c>
      <c r="P3" s="1">
        <v>0.98725874352768395</v>
      </c>
      <c r="Q3" s="1">
        <v>0.91150442477876104</v>
      </c>
      <c r="R3" s="1">
        <v>0.85576923076923095</v>
      </c>
      <c r="S3" s="1">
        <v>0.96116504854369</v>
      </c>
      <c r="T3" s="1">
        <v>0.97072104855055696</v>
      </c>
      <c r="U3" s="1">
        <v>0.94443461279335805</v>
      </c>
      <c r="V3" s="1">
        <v>0.99047490521015602</v>
      </c>
      <c r="W3" s="1">
        <v>0.24509368968664599</v>
      </c>
      <c r="X3" s="1">
        <v>0.227172661136301</v>
      </c>
      <c r="Y3" s="1">
        <v>0.26517421361375898</v>
      </c>
      <c r="Z3" s="1">
        <v>0.88165555740603696</v>
      </c>
      <c r="AA3" s="1">
        <v>0.81915511766217197</v>
      </c>
      <c r="AB3" s="1">
        <v>0.93441790928665702</v>
      </c>
      <c r="AC3" s="1">
        <v>0.94053886035048195</v>
      </c>
      <c r="AD3" s="1">
        <v>0.90793330816912099</v>
      </c>
      <c r="AE3" s="1">
        <v>0.96753765917965295</v>
      </c>
      <c r="AF3" s="1">
        <v>0.97148383896452395</v>
      </c>
      <c r="AG3" s="1">
        <v>0.94169458922250204</v>
      </c>
      <c r="AH3" s="1">
        <v>0.99119020457243101</v>
      </c>
      <c r="AI3" s="1">
        <v>227</v>
      </c>
      <c r="AJ3" s="1">
        <v>113</v>
      </c>
      <c r="AK3" s="1">
        <v>114</v>
      </c>
      <c r="AL3" s="1">
        <v>103</v>
      </c>
      <c r="AM3" s="1">
        <v>0</v>
      </c>
      <c r="AN3" s="1">
        <v>6</v>
      </c>
      <c r="AO3" s="1">
        <v>2</v>
      </c>
      <c r="AP3" s="1">
        <v>5</v>
      </c>
      <c r="AQ3" s="1">
        <v>5</v>
      </c>
      <c r="AR3" s="1">
        <v>1</v>
      </c>
      <c r="AS3" s="1">
        <v>105</v>
      </c>
      <c r="AT3" s="1">
        <v>111</v>
      </c>
      <c r="AU3" s="1">
        <v>2</v>
      </c>
      <c r="AV3" s="1">
        <v>12</v>
      </c>
      <c r="AW3" s="1">
        <v>102</v>
      </c>
      <c r="AX3" s="1">
        <v>0.87669744703965202</v>
      </c>
      <c r="AY3" s="1">
        <v>0.80712189093156195</v>
      </c>
      <c r="AZ3" s="1">
        <v>0.93804899126003505</v>
      </c>
      <c r="BA3" s="1">
        <v>5140</v>
      </c>
      <c r="BB3" s="1">
        <v>5623.2995594713702</v>
      </c>
      <c r="BC3" s="1">
        <v>111</v>
      </c>
      <c r="BD3" s="1">
        <v>116</v>
      </c>
      <c r="BE3" s="1">
        <v>0.84055759107196004</v>
      </c>
      <c r="BF3" s="1">
        <v>0.95594904997464902</v>
      </c>
      <c r="BG3" s="1">
        <v>0.92627869486423597</v>
      </c>
      <c r="BH3" s="1">
        <v>0.99463453165395799</v>
      </c>
      <c r="BI3" s="1">
        <v>0.83632975659918196</v>
      </c>
      <c r="BJ3" s="1">
        <v>0.92627869486423597</v>
      </c>
      <c r="BK3" s="1">
        <v>0.96947143187601204</v>
      </c>
      <c r="BL3" s="1">
        <v>0.99463453165395799</v>
      </c>
      <c r="BM3" s="1">
        <v>1</v>
      </c>
      <c r="BN3" s="4" t="s">
        <v>84</v>
      </c>
      <c r="BO3" s="4" t="s">
        <v>85</v>
      </c>
      <c r="BP3" s="4" t="s">
        <v>82</v>
      </c>
      <c r="BQ3" s="4" t="s">
        <v>108</v>
      </c>
      <c r="BR3" s="4" t="s">
        <v>100</v>
      </c>
      <c r="BS3" s="5">
        <v>0.245</v>
      </c>
      <c r="BT3" s="6" t="s">
        <v>101</v>
      </c>
      <c r="BU3" s="6" t="s">
        <v>102</v>
      </c>
      <c r="BV3" s="7">
        <v>0.97099999999999997</v>
      </c>
      <c r="BW3" s="7">
        <v>0.91200000000000003</v>
      </c>
      <c r="BX3" s="7">
        <v>0.97099999999999997</v>
      </c>
      <c r="BY3" s="7">
        <v>0.91100000000000003</v>
      </c>
      <c r="BZ3" s="7">
        <v>0.94099999999999995</v>
      </c>
      <c r="CA3" s="7">
        <v>0.88200000000000001</v>
      </c>
      <c r="CB3" s="7">
        <v>0.877</v>
      </c>
    </row>
    <row r="4" spans="1:80" x14ac:dyDescent="0.2">
      <c r="A4" s="1" t="s">
        <v>80</v>
      </c>
      <c r="B4" s="1" t="s">
        <v>81</v>
      </c>
      <c r="C4" s="1" t="s">
        <v>82</v>
      </c>
      <c r="D4" s="1" t="s">
        <v>106</v>
      </c>
      <c r="E4" s="1">
        <v>159</v>
      </c>
      <c r="F4" s="1">
        <v>607</v>
      </c>
      <c r="G4" s="1">
        <v>0.26194398682042802</v>
      </c>
      <c r="H4" s="1">
        <v>0.970873786407767</v>
      </c>
      <c r="I4" s="1">
        <v>0.94983277591973203</v>
      </c>
      <c r="J4" s="1">
        <v>0.98780487804878003</v>
      </c>
      <c r="K4" s="1">
        <v>0.94339622641509402</v>
      </c>
      <c r="L4" s="1">
        <v>0.904458598726115</v>
      </c>
      <c r="M4" s="1">
        <v>0.97590361445783103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0.98030634573304198</v>
      </c>
      <c r="U4" s="1">
        <v>0.96720342129508696</v>
      </c>
      <c r="V4" s="1">
        <v>0.99152045224254703</v>
      </c>
      <c r="W4" s="1">
        <v>0.26194398682042802</v>
      </c>
      <c r="X4" s="1">
        <v>0.26194398682042802</v>
      </c>
      <c r="Y4" s="1">
        <v>0.26194398682042802</v>
      </c>
      <c r="Z4" s="1">
        <v>0.96167422097887301</v>
      </c>
      <c r="AA4" s="1">
        <v>0.93530500432086705</v>
      </c>
      <c r="AB4" s="1">
        <v>0.98368104238740195</v>
      </c>
      <c r="AC4" s="1">
        <v>0.98946484970294002</v>
      </c>
      <c r="AD4" s="1">
        <v>0.98159963585023602</v>
      </c>
      <c r="AE4" s="1">
        <v>0.99563750102889104</v>
      </c>
      <c r="AF4" s="1">
        <v>0.97914936399003405</v>
      </c>
      <c r="AG4" s="1">
        <v>0.96386418387600203</v>
      </c>
      <c r="AH4" s="1">
        <v>0.99131289952466795</v>
      </c>
      <c r="AI4" s="1">
        <v>307</v>
      </c>
      <c r="AJ4" s="1">
        <v>150</v>
      </c>
      <c r="AK4" s="1">
        <v>157</v>
      </c>
      <c r="AL4" s="1">
        <v>144</v>
      </c>
      <c r="AM4" s="1">
        <v>6</v>
      </c>
      <c r="AN4" s="1">
        <v>8</v>
      </c>
      <c r="AO4" s="1">
        <v>1</v>
      </c>
      <c r="AP4" s="1">
        <v>0</v>
      </c>
      <c r="AQ4" s="1">
        <v>0</v>
      </c>
      <c r="AR4" s="1">
        <v>0</v>
      </c>
      <c r="AS4" s="1">
        <v>148</v>
      </c>
      <c r="AT4" s="1">
        <v>147</v>
      </c>
      <c r="AU4" s="1">
        <v>4</v>
      </c>
      <c r="AV4" s="1">
        <v>13</v>
      </c>
      <c r="AW4" s="1">
        <v>143</v>
      </c>
      <c r="AX4" s="1">
        <v>0.88932714125156398</v>
      </c>
      <c r="AY4" s="1">
        <v>0.836273128355143</v>
      </c>
      <c r="AZ4" s="1">
        <v>0.93487221588186997</v>
      </c>
      <c r="BA4" s="1">
        <v>966</v>
      </c>
      <c r="BB4" s="1">
        <v>1208.1596091205199</v>
      </c>
      <c r="BC4" s="1">
        <v>159</v>
      </c>
      <c r="BD4" s="1">
        <v>148</v>
      </c>
      <c r="BE4" s="1">
        <v>0.89526986890387406</v>
      </c>
      <c r="BF4" s="1">
        <v>0.97379351381891399</v>
      </c>
      <c r="BG4" s="1">
        <v>0.97538319842101595</v>
      </c>
      <c r="BH4" s="1">
        <v>1</v>
      </c>
      <c r="BI4" s="1">
        <v>0.89526986890387406</v>
      </c>
      <c r="BJ4" s="1">
        <v>0.97538319842101595</v>
      </c>
      <c r="BK4" s="1">
        <v>0.97590361445783103</v>
      </c>
      <c r="BL4" s="1">
        <v>1</v>
      </c>
      <c r="BM4" s="1">
        <v>1</v>
      </c>
      <c r="BN4" s="4" t="s">
        <v>84</v>
      </c>
      <c r="BO4" s="4" t="s">
        <v>85</v>
      </c>
      <c r="BP4" s="4" t="s">
        <v>82</v>
      </c>
      <c r="BQ4" s="4" t="s">
        <v>106</v>
      </c>
      <c r="BR4" s="4" t="s">
        <v>86</v>
      </c>
      <c r="BS4" s="5">
        <v>0.26200000000000001</v>
      </c>
      <c r="BT4" s="6" t="s">
        <v>107</v>
      </c>
      <c r="BU4" s="6" t="s">
        <v>88</v>
      </c>
      <c r="BV4" s="7">
        <v>0.97899999999999998</v>
      </c>
      <c r="BW4" s="7">
        <v>1</v>
      </c>
      <c r="BX4" s="7">
        <v>0.98</v>
      </c>
      <c r="BY4" s="7">
        <v>0.97099999999999997</v>
      </c>
      <c r="BZ4" s="7">
        <v>0.98899999999999999</v>
      </c>
      <c r="CA4" s="7">
        <v>0.96199999999999997</v>
      </c>
      <c r="CB4" s="7">
        <v>0.88900000000000001</v>
      </c>
    </row>
    <row r="5" spans="1:80" x14ac:dyDescent="0.2">
      <c r="A5" s="1" t="s">
        <v>80</v>
      </c>
      <c r="B5" s="1" t="s">
        <v>81</v>
      </c>
      <c r="C5" s="1" t="s">
        <v>82</v>
      </c>
      <c r="D5" s="1" t="s">
        <v>117</v>
      </c>
      <c r="E5" s="1" t="s">
        <v>93</v>
      </c>
      <c r="F5" s="1" t="s">
        <v>93</v>
      </c>
      <c r="G5" s="1">
        <v>0.292428297031539</v>
      </c>
      <c r="H5" s="1">
        <v>0.89486669753523396</v>
      </c>
      <c r="I5" s="1">
        <v>0.83695295135280401</v>
      </c>
      <c r="J5" s="1">
        <v>0.94836307202542203</v>
      </c>
      <c r="K5" s="1">
        <v>0.82172527722555699</v>
      </c>
      <c r="L5" s="1">
        <v>0.73237125503551204</v>
      </c>
      <c r="M5" s="1">
        <v>0.91532637085484903</v>
      </c>
      <c r="N5" s="1">
        <v>0.99388096972143802</v>
      </c>
      <c r="O5" s="1">
        <v>0.98433468368462396</v>
      </c>
      <c r="P5" s="1">
        <v>1</v>
      </c>
      <c r="Q5" s="1">
        <v>0.98230088495575296</v>
      </c>
      <c r="R5" s="1">
        <v>0.95454545454545503</v>
      </c>
      <c r="S5" s="1">
        <v>1</v>
      </c>
      <c r="T5" s="1">
        <v>0.93098447851342003</v>
      </c>
      <c r="U5" s="1">
        <v>0.88649114141441099</v>
      </c>
      <c r="V5" s="1">
        <v>0.96957853771631997</v>
      </c>
      <c r="W5" s="1">
        <v>0.292428297031539</v>
      </c>
      <c r="X5" s="1">
        <v>0.26563260192806998</v>
      </c>
      <c r="Y5" s="1">
        <v>0.32513832289066003</v>
      </c>
      <c r="Z5" s="1">
        <v>0.86306503097432596</v>
      </c>
      <c r="AA5" s="1">
        <v>0.79107086165849805</v>
      </c>
      <c r="AB5" s="1">
        <v>0.93132984138071995</v>
      </c>
      <c r="AC5" s="1">
        <v>0.94962531239959302</v>
      </c>
      <c r="AD5" s="1">
        <v>0.91235434456116604</v>
      </c>
      <c r="AE5" s="1">
        <v>0.97675648775233004</v>
      </c>
      <c r="AF5" s="1">
        <v>0.91905361729590096</v>
      </c>
      <c r="AG5" s="1">
        <v>0.85422065476397702</v>
      </c>
      <c r="AH5" s="1">
        <v>0.96748985100317997</v>
      </c>
      <c r="AI5" s="1">
        <v>227</v>
      </c>
      <c r="AJ5" s="1">
        <v>113</v>
      </c>
      <c r="AK5" s="1">
        <v>114</v>
      </c>
      <c r="AL5" s="1">
        <v>108</v>
      </c>
      <c r="AM5" s="1">
        <v>3</v>
      </c>
      <c r="AN5" s="1">
        <v>7</v>
      </c>
      <c r="AO5" s="1">
        <v>6</v>
      </c>
      <c r="AP5" s="1">
        <v>0</v>
      </c>
      <c r="AQ5" s="1">
        <v>2</v>
      </c>
      <c r="AR5" s="1">
        <v>0</v>
      </c>
      <c r="AS5" s="1">
        <v>101</v>
      </c>
      <c r="AT5" s="1">
        <v>111</v>
      </c>
      <c r="AU5" s="1">
        <v>2</v>
      </c>
      <c r="AV5" s="1">
        <v>12</v>
      </c>
      <c r="AW5" s="1">
        <v>102</v>
      </c>
      <c r="AX5" s="1">
        <v>0.87669744703965202</v>
      </c>
      <c r="AY5" s="1">
        <v>0.80734362538104398</v>
      </c>
      <c r="AZ5" s="1">
        <v>0.93790300519754599</v>
      </c>
      <c r="BA5" s="1">
        <v>5140</v>
      </c>
      <c r="BB5" s="1">
        <v>5623.2995594713702</v>
      </c>
      <c r="BC5" s="1">
        <v>124</v>
      </c>
      <c r="BD5" s="1">
        <v>103</v>
      </c>
      <c r="BE5" s="1">
        <v>0.74379886711741094</v>
      </c>
      <c r="BF5" s="1">
        <v>0.88534415606303396</v>
      </c>
      <c r="BG5" s="1">
        <v>0.94709171325979602</v>
      </c>
      <c r="BH5" s="1">
        <v>0.99975422624630605</v>
      </c>
      <c r="BI5" s="1">
        <v>0.73237125503551204</v>
      </c>
      <c r="BJ5" s="1">
        <v>0.94709171325979602</v>
      </c>
      <c r="BK5" s="1">
        <v>0.91532637085484903</v>
      </c>
      <c r="BL5" s="1">
        <v>1</v>
      </c>
      <c r="BM5" s="1">
        <v>1</v>
      </c>
      <c r="BN5" s="4" t="s">
        <v>84</v>
      </c>
      <c r="BO5" s="4" t="s">
        <v>85</v>
      </c>
      <c r="BP5" s="4" t="s">
        <v>82</v>
      </c>
      <c r="BQ5" s="4" t="s">
        <v>106</v>
      </c>
      <c r="BR5" s="4" t="s">
        <v>100</v>
      </c>
      <c r="BS5" s="5">
        <v>0.29199999999999998</v>
      </c>
      <c r="BT5" s="6" t="s">
        <v>118</v>
      </c>
      <c r="BU5" s="6" t="s">
        <v>105</v>
      </c>
      <c r="BV5" s="7">
        <v>0.91900000000000004</v>
      </c>
      <c r="BW5" s="7">
        <v>0.98199999999999998</v>
      </c>
      <c r="BX5" s="7">
        <v>0.93100000000000005</v>
      </c>
      <c r="BY5" s="7">
        <v>0.89500000000000002</v>
      </c>
      <c r="BZ5" s="7">
        <v>0.95</v>
      </c>
      <c r="CA5" s="7">
        <v>0.86299999999999999</v>
      </c>
      <c r="CB5" s="7">
        <v>0.877</v>
      </c>
    </row>
    <row r="6" spans="1:80" x14ac:dyDescent="0.2">
      <c r="A6" s="1" t="s">
        <v>80</v>
      </c>
      <c r="B6" s="1" t="s">
        <v>81</v>
      </c>
      <c r="C6" s="1" t="s">
        <v>206</v>
      </c>
      <c r="D6" s="1" t="s">
        <v>108</v>
      </c>
      <c r="E6" s="1">
        <v>174</v>
      </c>
      <c r="F6" s="1">
        <v>700</v>
      </c>
      <c r="G6" s="1">
        <v>0.248571428571429</v>
      </c>
      <c r="H6" s="1">
        <v>0.94307569024550197</v>
      </c>
      <c r="I6" s="1">
        <v>0.89747755174479005</v>
      </c>
      <c r="J6" s="1">
        <v>0.98062698133145498</v>
      </c>
      <c r="K6" s="1">
        <v>0.97894736842105301</v>
      </c>
      <c r="L6" s="1">
        <v>0.94565217391304301</v>
      </c>
      <c r="M6" s="1">
        <v>1</v>
      </c>
      <c r="N6" s="1">
        <v>0.96787072243345995</v>
      </c>
      <c r="O6" s="1">
        <v>0.93527234150948102</v>
      </c>
      <c r="P6" s="1">
        <v>0.99163498098859304</v>
      </c>
      <c r="Q6" s="1">
        <v>0.90973998594518601</v>
      </c>
      <c r="R6" s="1">
        <v>0.83332831118588802</v>
      </c>
      <c r="S6" s="1">
        <v>0.97507226045981699</v>
      </c>
      <c r="T6" s="1">
        <v>0.99285604311008502</v>
      </c>
      <c r="U6" s="1">
        <v>0.98179005858959001</v>
      </c>
      <c r="V6" s="1">
        <v>1</v>
      </c>
      <c r="W6" s="1">
        <v>0.248571428571429</v>
      </c>
      <c r="X6" s="1">
        <v>0.248571428571429</v>
      </c>
      <c r="Y6" s="1">
        <v>0.248571428571429</v>
      </c>
      <c r="Z6" s="1">
        <v>0.92444266941924302</v>
      </c>
      <c r="AA6" s="1">
        <v>0.86416480113586502</v>
      </c>
      <c r="AB6" s="1">
        <v>0.97428278932578105</v>
      </c>
      <c r="AC6" s="1">
        <v>0.94980877149391296</v>
      </c>
      <c r="AD6" s="1">
        <v>0.90636692008201203</v>
      </c>
      <c r="AE6" s="1">
        <v>0.98448354222779999</v>
      </c>
      <c r="AF6" s="1">
        <v>0.99356977445680195</v>
      </c>
      <c r="AG6" s="1">
        <v>0.98308916940028801</v>
      </c>
      <c r="AH6" s="1">
        <v>1</v>
      </c>
      <c r="AI6" s="1">
        <v>200</v>
      </c>
      <c r="AJ6" s="1">
        <v>98</v>
      </c>
      <c r="AK6" s="1">
        <v>102</v>
      </c>
      <c r="AL6" s="1">
        <v>93</v>
      </c>
      <c r="AM6" s="1">
        <v>0</v>
      </c>
      <c r="AN6" s="1">
        <v>2</v>
      </c>
      <c r="AO6" s="1">
        <v>0</v>
      </c>
      <c r="AP6" s="1">
        <v>3</v>
      </c>
      <c r="AQ6" s="1">
        <v>2</v>
      </c>
      <c r="AR6" s="1">
        <v>2</v>
      </c>
      <c r="AS6" s="1">
        <v>98</v>
      </c>
      <c r="AT6" s="1">
        <v>93</v>
      </c>
      <c r="AU6" s="1">
        <v>1</v>
      </c>
      <c r="AV6" s="1">
        <v>8</v>
      </c>
      <c r="AW6" s="1">
        <v>98</v>
      </c>
      <c r="AX6" s="1">
        <v>0.91005396761942803</v>
      </c>
      <c r="AY6" s="1">
        <v>0.84966927239927803</v>
      </c>
      <c r="AZ6" s="1">
        <v>0.95998799639891996</v>
      </c>
      <c r="BA6" s="1">
        <v>850</v>
      </c>
      <c r="BB6" s="1">
        <v>1293.32</v>
      </c>
      <c r="BC6" s="1">
        <v>95</v>
      </c>
      <c r="BD6" s="1">
        <v>105</v>
      </c>
      <c r="BE6" s="1">
        <v>0.92601345257117296</v>
      </c>
      <c r="BF6" s="1">
        <v>0.99744018201393803</v>
      </c>
      <c r="BG6" s="1">
        <v>0.91876806723160698</v>
      </c>
      <c r="BH6" s="1">
        <v>0.99406867804211296</v>
      </c>
      <c r="BI6" s="1">
        <v>0.92601345257117296</v>
      </c>
      <c r="BJ6" s="1">
        <v>0.91876806723160698</v>
      </c>
      <c r="BK6" s="1">
        <v>1</v>
      </c>
      <c r="BL6" s="1">
        <v>0.99406867804211296</v>
      </c>
      <c r="BM6" s="1">
        <v>1</v>
      </c>
      <c r="BN6" s="4" t="s">
        <v>84</v>
      </c>
      <c r="BO6" s="4" t="s">
        <v>85</v>
      </c>
      <c r="BP6" s="4" t="s">
        <v>206</v>
      </c>
      <c r="BQ6" s="4" t="s">
        <v>108</v>
      </c>
      <c r="BR6" s="4" t="s">
        <v>86</v>
      </c>
      <c r="BS6" s="5">
        <v>0.249</v>
      </c>
      <c r="BT6" s="6" t="s">
        <v>212</v>
      </c>
      <c r="BU6" s="6" t="s">
        <v>216</v>
      </c>
      <c r="BV6" s="7">
        <v>0.99399999999999999</v>
      </c>
      <c r="BW6" s="7">
        <v>0.91</v>
      </c>
      <c r="BX6" s="7">
        <v>0.99299999999999999</v>
      </c>
      <c r="BY6" s="7">
        <v>0.94299999999999995</v>
      </c>
      <c r="BZ6" s="7">
        <v>0.95</v>
      </c>
      <c r="CA6" s="7">
        <v>0.92400000000000004</v>
      </c>
      <c r="CB6" s="7">
        <v>0.91</v>
      </c>
    </row>
    <row r="7" spans="1:80" x14ac:dyDescent="0.2">
      <c r="A7" s="1" t="s">
        <v>80</v>
      </c>
      <c r="B7" s="1" t="s">
        <v>81</v>
      </c>
      <c r="C7" s="1" t="s">
        <v>206</v>
      </c>
      <c r="D7" s="1" t="s">
        <v>106</v>
      </c>
      <c r="E7" s="1">
        <v>197</v>
      </c>
      <c r="F7" s="1">
        <v>700</v>
      </c>
      <c r="G7" s="1">
        <v>0.28142857142857097</v>
      </c>
      <c r="H7" s="1">
        <v>0.89253343336444801</v>
      </c>
      <c r="I7" s="1">
        <v>0.852748634389069</v>
      </c>
      <c r="J7" s="1">
        <v>0.97219868257076703</v>
      </c>
      <c r="K7" s="1">
        <v>0.84791878172588797</v>
      </c>
      <c r="L7" s="1">
        <v>0.81187509613905595</v>
      </c>
      <c r="M7" s="1">
        <v>0.97916666666666696</v>
      </c>
      <c r="N7" s="1">
        <v>0.97959183673469397</v>
      </c>
      <c r="O7" s="1">
        <v>0.94790296052631595</v>
      </c>
      <c r="P7" s="1">
        <v>1</v>
      </c>
      <c r="Q7" s="1">
        <v>0.94210378500821801</v>
      </c>
      <c r="R7" s="1">
        <v>0.86507219692473802</v>
      </c>
      <c r="S7" s="1">
        <v>1</v>
      </c>
      <c r="T7" s="1">
        <v>0.94268164503881802</v>
      </c>
      <c r="U7" s="1">
        <v>0.93001288454855102</v>
      </c>
      <c r="V7" s="1">
        <v>0.99166827117585399</v>
      </c>
      <c r="W7" s="1">
        <v>0.28142857142857097</v>
      </c>
      <c r="X7" s="1">
        <v>0.28142857142857097</v>
      </c>
      <c r="Y7" s="1">
        <v>0.28142857142857097</v>
      </c>
      <c r="Z7" s="1">
        <v>0.85566894206996602</v>
      </c>
      <c r="AA7" s="1">
        <v>0.79826125299899497</v>
      </c>
      <c r="AB7" s="1">
        <v>0.96135982803122</v>
      </c>
      <c r="AC7" s="1">
        <v>0.94001178827038301</v>
      </c>
      <c r="AD7" s="1">
        <v>0.90219770960417101</v>
      </c>
      <c r="AE7" s="1">
        <v>0.982348020646158</v>
      </c>
      <c r="AF7" s="1">
        <v>0.93792906175051705</v>
      </c>
      <c r="AG7" s="1">
        <v>0.92014977122538399</v>
      </c>
      <c r="AH7" s="1">
        <v>0.99210722041926802</v>
      </c>
      <c r="AI7" s="1">
        <v>200</v>
      </c>
      <c r="AJ7" s="1">
        <v>98</v>
      </c>
      <c r="AK7" s="1">
        <v>102</v>
      </c>
      <c r="AL7" s="1">
        <v>96</v>
      </c>
      <c r="AM7" s="1">
        <v>0</v>
      </c>
      <c r="AN7" s="1">
        <v>4</v>
      </c>
      <c r="AO7" s="1">
        <v>2</v>
      </c>
      <c r="AP7" s="1">
        <v>0</v>
      </c>
      <c r="AQ7" s="1">
        <v>2</v>
      </c>
      <c r="AR7" s="1">
        <v>0</v>
      </c>
      <c r="AS7" s="1">
        <v>96</v>
      </c>
      <c r="AT7" s="1">
        <v>93</v>
      </c>
      <c r="AU7" s="1">
        <v>1</v>
      </c>
      <c r="AV7" s="1">
        <v>8</v>
      </c>
      <c r="AW7" s="1">
        <v>98</v>
      </c>
      <c r="AX7" s="1">
        <v>0.91005396761942803</v>
      </c>
      <c r="AY7" s="1">
        <v>0.85</v>
      </c>
      <c r="AZ7" s="1">
        <v>0.96</v>
      </c>
      <c r="BA7" s="1">
        <v>850</v>
      </c>
      <c r="BB7" s="1">
        <v>1293.32</v>
      </c>
      <c r="BC7" s="1">
        <v>102</v>
      </c>
      <c r="BD7" s="1">
        <v>98</v>
      </c>
      <c r="BE7" s="1">
        <v>0.75779886365265503</v>
      </c>
      <c r="BF7" s="1">
        <v>0.90759753486977501</v>
      </c>
      <c r="BG7" s="1">
        <v>0.928217942829897</v>
      </c>
      <c r="BH7" s="1">
        <v>0.99751885012126695</v>
      </c>
      <c r="BI7" s="1">
        <v>0.75779886365265503</v>
      </c>
      <c r="BJ7" s="1">
        <v>0.928217942829897</v>
      </c>
      <c r="BK7" s="1">
        <v>0.97916666666666696</v>
      </c>
      <c r="BL7" s="1">
        <v>1</v>
      </c>
      <c r="BM7" s="1">
        <v>1</v>
      </c>
      <c r="BN7" s="4" t="s">
        <v>84</v>
      </c>
      <c r="BO7" s="4" t="s">
        <v>85</v>
      </c>
      <c r="BP7" s="4" t="s">
        <v>206</v>
      </c>
      <c r="BQ7" s="4" t="s">
        <v>106</v>
      </c>
      <c r="BR7" s="4" t="s">
        <v>86</v>
      </c>
      <c r="BS7" s="5">
        <v>0.28100000000000003</v>
      </c>
      <c r="BT7" s="6" t="s">
        <v>215</v>
      </c>
      <c r="BU7" s="6" t="s">
        <v>200</v>
      </c>
      <c r="BV7" s="7">
        <v>0.93799999999999994</v>
      </c>
      <c r="BW7" s="7">
        <v>0.94199999999999995</v>
      </c>
      <c r="BX7" s="7">
        <v>0.94299999999999995</v>
      </c>
      <c r="BY7" s="7">
        <v>0.89300000000000002</v>
      </c>
      <c r="BZ7" s="7">
        <v>0.94</v>
      </c>
      <c r="CA7" s="7">
        <v>0.85599999999999998</v>
      </c>
      <c r="CB7" s="7">
        <v>0.91</v>
      </c>
    </row>
    <row r="8" spans="1:80" x14ac:dyDescent="0.2">
      <c r="A8" s="1" t="s">
        <v>80</v>
      </c>
      <c r="B8" s="1" t="s">
        <v>126</v>
      </c>
      <c r="C8" s="1" t="s">
        <v>82</v>
      </c>
      <c r="D8" s="1" t="s">
        <v>108</v>
      </c>
      <c r="E8" s="1">
        <v>503</v>
      </c>
      <c r="F8" s="1">
        <v>1000</v>
      </c>
      <c r="G8" s="1">
        <v>0.503</v>
      </c>
      <c r="H8" s="1">
        <v>0.93427296500847701</v>
      </c>
      <c r="I8" s="1">
        <v>0.90981534516575402</v>
      </c>
      <c r="J8" s="1">
        <v>0.95896187467346505</v>
      </c>
      <c r="K8" s="1">
        <v>0.98639455782312901</v>
      </c>
      <c r="L8" s="1">
        <v>0.96527777777777801</v>
      </c>
      <c r="M8" s="1">
        <v>1</v>
      </c>
      <c r="N8" s="1">
        <v>0.87330650570087198</v>
      </c>
      <c r="O8" s="1">
        <v>0.82012308360877495</v>
      </c>
      <c r="P8" s="1">
        <v>0.92358360690458496</v>
      </c>
      <c r="Q8" s="1">
        <v>0.88738318382404002</v>
      </c>
      <c r="R8" s="1">
        <v>0.84752643609105405</v>
      </c>
      <c r="S8" s="1">
        <v>0.92925706405914799</v>
      </c>
      <c r="T8" s="1">
        <v>0.984477440598436</v>
      </c>
      <c r="U8" s="1">
        <v>0.96114199627015695</v>
      </c>
      <c r="V8" s="1">
        <v>1</v>
      </c>
      <c r="W8" s="1">
        <v>0.503</v>
      </c>
      <c r="X8" s="1">
        <v>0.503</v>
      </c>
      <c r="Y8" s="1">
        <v>0.503</v>
      </c>
      <c r="Z8" s="1">
        <v>0.86575949666215202</v>
      </c>
      <c r="AA8" s="1">
        <v>0.81414350971109595</v>
      </c>
      <c r="AB8" s="1">
        <v>0.91689145261822602</v>
      </c>
      <c r="AC8" s="1">
        <v>0.93488680586208595</v>
      </c>
      <c r="AD8" s="1">
        <v>0.91101336415287604</v>
      </c>
      <c r="AE8" s="1">
        <v>0.95910759382348998</v>
      </c>
      <c r="AF8" s="1">
        <v>0.98776404147381003</v>
      </c>
      <c r="AG8" s="1">
        <v>0.96852309642017798</v>
      </c>
      <c r="AH8" s="1">
        <v>1</v>
      </c>
      <c r="AI8" s="1">
        <v>300</v>
      </c>
      <c r="AJ8" s="1">
        <v>164</v>
      </c>
      <c r="AK8" s="1">
        <v>136</v>
      </c>
      <c r="AL8" s="1">
        <v>145</v>
      </c>
      <c r="AM8" s="1">
        <v>0</v>
      </c>
      <c r="AN8" s="1">
        <v>2</v>
      </c>
      <c r="AO8" s="1">
        <v>0</v>
      </c>
      <c r="AP8" s="1">
        <v>2</v>
      </c>
      <c r="AQ8" s="1">
        <v>17</v>
      </c>
      <c r="AR8" s="1">
        <v>1</v>
      </c>
      <c r="AS8" s="1">
        <v>133</v>
      </c>
      <c r="AT8" s="1">
        <v>155</v>
      </c>
      <c r="AU8" s="1">
        <v>1</v>
      </c>
      <c r="AV8" s="1">
        <v>11</v>
      </c>
      <c r="AW8" s="1">
        <v>133</v>
      </c>
      <c r="AX8" s="1">
        <v>0.91965720407070195</v>
      </c>
      <c r="AY8" s="1">
        <v>0.87276785714285698</v>
      </c>
      <c r="AZ8" s="1">
        <v>0.95990198262419202</v>
      </c>
      <c r="BA8" s="1">
        <v>679</v>
      </c>
      <c r="BB8" s="1">
        <v>1092.37666666667</v>
      </c>
      <c r="BC8" s="1">
        <v>147</v>
      </c>
      <c r="BD8" s="1">
        <v>153</v>
      </c>
      <c r="BE8" s="1">
        <v>0.95171816452049196</v>
      </c>
      <c r="BF8" s="1">
        <v>0.99834804991184301</v>
      </c>
      <c r="BG8" s="1">
        <v>0.81288173536616404</v>
      </c>
      <c r="BH8" s="1">
        <v>0.923550587015324</v>
      </c>
      <c r="BI8" s="1">
        <v>0.95171816452049196</v>
      </c>
      <c r="BJ8" s="1">
        <v>0.81288173536616404</v>
      </c>
      <c r="BK8" s="1">
        <v>1</v>
      </c>
      <c r="BL8" s="1">
        <v>0.92358360690458496</v>
      </c>
      <c r="BM8" s="1">
        <v>1</v>
      </c>
      <c r="BN8" s="4" t="s">
        <v>84</v>
      </c>
      <c r="BO8" s="4" t="s">
        <v>127</v>
      </c>
      <c r="BP8" s="4" t="s">
        <v>82</v>
      </c>
      <c r="BQ8" s="4" t="s">
        <v>108</v>
      </c>
      <c r="BR8" s="4" t="s">
        <v>86</v>
      </c>
      <c r="BS8" s="5">
        <v>0.503</v>
      </c>
      <c r="BT8" s="6" t="s">
        <v>134</v>
      </c>
      <c r="BU8" s="6" t="s">
        <v>135</v>
      </c>
      <c r="BV8" s="7">
        <v>0.98799999999999999</v>
      </c>
      <c r="BW8" s="7">
        <v>0.88700000000000001</v>
      </c>
      <c r="BX8" s="7">
        <v>0.98399999999999999</v>
      </c>
      <c r="BY8" s="7">
        <v>0.93400000000000005</v>
      </c>
      <c r="BZ8" s="7">
        <v>0.93500000000000005</v>
      </c>
      <c r="CA8" s="7">
        <v>0.86599999999999999</v>
      </c>
      <c r="CB8" s="7">
        <v>0.92</v>
      </c>
    </row>
    <row r="9" spans="1:80" x14ac:dyDescent="0.2">
      <c r="A9" s="1" t="s">
        <v>80</v>
      </c>
      <c r="B9" s="1" t="s">
        <v>126</v>
      </c>
      <c r="C9" s="1" t="s">
        <v>82</v>
      </c>
      <c r="D9" s="1" t="s">
        <v>106</v>
      </c>
      <c r="E9" s="1">
        <v>534</v>
      </c>
      <c r="F9" s="1">
        <v>1000</v>
      </c>
      <c r="G9" s="1">
        <v>0.53400000000000003</v>
      </c>
      <c r="H9" s="1">
        <v>0.95379412041818401</v>
      </c>
      <c r="I9" s="1">
        <v>0.92967656521507203</v>
      </c>
      <c r="J9" s="1">
        <v>0.97548624201830303</v>
      </c>
      <c r="K9" s="1">
        <v>0.97286784376671998</v>
      </c>
      <c r="L9" s="1">
        <v>0.94189984384307202</v>
      </c>
      <c r="M9" s="1">
        <v>0.994194756554307</v>
      </c>
      <c r="N9" s="1">
        <v>0.92307692307692302</v>
      </c>
      <c r="O9" s="1">
        <v>0.87671232876712302</v>
      </c>
      <c r="P9" s="1">
        <v>0.96453900709219897</v>
      </c>
      <c r="Q9" s="1">
        <v>0.93545392197562405</v>
      </c>
      <c r="R9" s="1">
        <v>0.900031560748907</v>
      </c>
      <c r="S9" s="1">
        <v>0.96917373324496303</v>
      </c>
      <c r="T9" s="1">
        <v>0.96741522883186004</v>
      </c>
      <c r="U9" s="1">
        <v>0.93263917729101697</v>
      </c>
      <c r="V9" s="1">
        <v>0.992863742366486</v>
      </c>
      <c r="W9" s="1">
        <v>0.53400000000000003</v>
      </c>
      <c r="X9" s="1">
        <v>0.53400000000000003</v>
      </c>
      <c r="Y9" s="1">
        <v>0.53400000000000003</v>
      </c>
      <c r="Z9" s="1">
        <v>0.89940029509141795</v>
      </c>
      <c r="AA9" s="1">
        <v>0.84662378331068999</v>
      </c>
      <c r="AB9" s="1">
        <v>0.94718641500996703</v>
      </c>
      <c r="AC9" s="1">
        <v>0.95288216637609002</v>
      </c>
      <c r="AD9" s="1">
        <v>0.92866205160505999</v>
      </c>
      <c r="AE9" s="1">
        <v>0.97470960502166404</v>
      </c>
      <c r="AF9" s="1">
        <v>0.97097214325376702</v>
      </c>
      <c r="AG9" s="1">
        <v>0.93808749729029495</v>
      </c>
      <c r="AH9" s="1">
        <v>0.99378816889866595</v>
      </c>
      <c r="AI9" s="1">
        <v>300</v>
      </c>
      <c r="AJ9" s="1">
        <v>164</v>
      </c>
      <c r="AK9" s="1">
        <v>136</v>
      </c>
      <c r="AL9" s="1">
        <v>147</v>
      </c>
      <c r="AM9" s="1">
        <v>6</v>
      </c>
      <c r="AN9" s="1">
        <v>3</v>
      </c>
      <c r="AO9" s="1">
        <v>1</v>
      </c>
      <c r="AP9" s="1">
        <v>0</v>
      </c>
      <c r="AQ9" s="1">
        <v>11</v>
      </c>
      <c r="AR9" s="1">
        <v>0</v>
      </c>
      <c r="AS9" s="1">
        <v>132</v>
      </c>
      <c r="AT9" s="1">
        <v>155</v>
      </c>
      <c r="AU9" s="1">
        <v>1</v>
      </c>
      <c r="AV9" s="1">
        <v>11</v>
      </c>
      <c r="AW9" s="1">
        <v>133</v>
      </c>
      <c r="AX9" s="1">
        <v>0.91965720407070195</v>
      </c>
      <c r="AY9" s="1">
        <v>0.87281328097108202</v>
      </c>
      <c r="AZ9" s="1">
        <v>0.95992006274347397</v>
      </c>
      <c r="BA9" s="1">
        <v>679</v>
      </c>
      <c r="BB9" s="1">
        <v>1092.37666666667</v>
      </c>
      <c r="BC9" s="1">
        <v>157</v>
      </c>
      <c r="BD9" s="1">
        <v>143</v>
      </c>
      <c r="BE9" s="1">
        <v>0.93605390661341203</v>
      </c>
      <c r="BF9" s="1">
        <v>0.99301550456281196</v>
      </c>
      <c r="BG9" s="1">
        <v>0.86653250584605501</v>
      </c>
      <c r="BH9" s="1">
        <v>0.96097560422374995</v>
      </c>
      <c r="BI9" s="1">
        <v>0.93605390661341203</v>
      </c>
      <c r="BJ9" s="1">
        <v>0.86653250584605501</v>
      </c>
      <c r="BK9" s="1">
        <v>0.994194756554307</v>
      </c>
      <c r="BL9" s="1">
        <v>0.96453900709219897</v>
      </c>
      <c r="BM9" s="1">
        <v>1</v>
      </c>
      <c r="BN9" s="4" t="s">
        <v>84</v>
      </c>
      <c r="BO9" s="4" t="s">
        <v>127</v>
      </c>
      <c r="BP9" s="4" t="s">
        <v>82</v>
      </c>
      <c r="BQ9" s="4" t="s">
        <v>106</v>
      </c>
      <c r="BR9" s="4" t="s">
        <v>86</v>
      </c>
      <c r="BS9" s="5">
        <v>0.53400000000000003</v>
      </c>
      <c r="BT9" s="6" t="s">
        <v>132</v>
      </c>
      <c r="BU9" s="6" t="s">
        <v>133</v>
      </c>
      <c r="BV9" s="7">
        <v>0.97099999999999997</v>
      </c>
      <c r="BW9" s="7">
        <v>0.93500000000000005</v>
      </c>
      <c r="BX9" s="7">
        <v>0.96699999999999997</v>
      </c>
      <c r="BY9" s="7">
        <v>0.95399999999999996</v>
      </c>
      <c r="BZ9" s="7">
        <v>0.95299999999999996</v>
      </c>
      <c r="CA9" s="7">
        <v>0.89900000000000002</v>
      </c>
      <c r="CB9" s="7">
        <v>0.92</v>
      </c>
    </row>
    <row r="10" spans="1:80" x14ac:dyDescent="0.2">
      <c r="A10" s="1" t="s">
        <v>80</v>
      </c>
      <c r="B10" s="1" t="s">
        <v>126</v>
      </c>
      <c r="C10" s="1" t="s">
        <v>206</v>
      </c>
      <c r="D10" s="1" t="s">
        <v>108</v>
      </c>
      <c r="E10" s="1">
        <v>172</v>
      </c>
      <c r="F10" s="1">
        <v>343</v>
      </c>
      <c r="G10" s="1">
        <v>0.50145772594752203</v>
      </c>
      <c r="H10" s="1">
        <v>0.94914062306376901</v>
      </c>
      <c r="I10" s="1">
        <v>0.92100189787595699</v>
      </c>
      <c r="J10" s="1">
        <v>0.97653418543819503</v>
      </c>
      <c r="K10" s="1">
        <v>0.97938144329896903</v>
      </c>
      <c r="L10" s="1">
        <v>0.94736842105263197</v>
      </c>
      <c r="M10" s="1">
        <v>1</v>
      </c>
      <c r="N10" s="1">
        <v>0.91516569200779696</v>
      </c>
      <c r="O10" s="1">
        <v>0.86218914289089699</v>
      </c>
      <c r="P10" s="1">
        <v>0.96730609464455197</v>
      </c>
      <c r="Q10" s="1">
        <v>0.92071138571759104</v>
      </c>
      <c r="R10" s="1">
        <v>0.87717896800985995</v>
      </c>
      <c r="S10" s="1">
        <v>0.96803150697455898</v>
      </c>
      <c r="T10" s="1">
        <v>0.97784055333340802</v>
      </c>
      <c r="U10" s="1">
        <v>0.94519048051059296</v>
      </c>
      <c r="V10" s="1">
        <v>1</v>
      </c>
      <c r="W10" s="1">
        <v>0.50145772594752203</v>
      </c>
      <c r="X10" s="1">
        <v>0.50145772594752203</v>
      </c>
      <c r="Y10" s="1">
        <v>0.50145772594752203</v>
      </c>
      <c r="Z10" s="1">
        <v>0.896547301040169</v>
      </c>
      <c r="AA10" s="1">
        <v>0.83816988201276099</v>
      </c>
      <c r="AB10" s="1">
        <v>0.95270867343132404</v>
      </c>
      <c r="AC10" s="1">
        <v>0.94984196245914099</v>
      </c>
      <c r="AD10" s="1">
        <v>0.92274248526077296</v>
      </c>
      <c r="AE10" s="1">
        <v>0.97668787136105994</v>
      </c>
      <c r="AF10" s="1">
        <v>0.980876103056602</v>
      </c>
      <c r="AG10" s="1">
        <v>0.950690619366241</v>
      </c>
      <c r="AH10" s="1">
        <v>1</v>
      </c>
      <c r="AI10" s="1">
        <v>200</v>
      </c>
      <c r="AJ10" s="1">
        <v>103</v>
      </c>
      <c r="AK10" s="1">
        <v>97</v>
      </c>
      <c r="AL10" s="1">
        <v>95</v>
      </c>
      <c r="AM10" s="1">
        <v>0</v>
      </c>
      <c r="AN10" s="1">
        <v>2</v>
      </c>
      <c r="AO10" s="1">
        <v>0</v>
      </c>
      <c r="AP10" s="1">
        <v>2</v>
      </c>
      <c r="AQ10" s="1">
        <v>6</v>
      </c>
      <c r="AR10" s="1">
        <v>1</v>
      </c>
      <c r="AS10" s="1">
        <v>94</v>
      </c>
      <c r="AT10" s="1">
        <v>99</v>
      </c>
      <c r="AU10" s="1">
        <v>1</v>
      </c>
      <c r="AV10" s="1">
        <v>5</v>
      </c>
      <c r="AW10" s="1">
        <v>95</v>
      </c>
      <c r="AX10" s="1">
        <v>0.94</v>
      </c>
      <c r="AY10" s="1">
        <v>0.88960256924929704</v>
      </c>
      <c r="AZ10" s="1">
        <v>0.97999399819945998</v>
      </c>
      <c r="BA10" s="1">
        <v>618.5</v>
      </c>
      <c r="BB10" s="1">
        <v>857.28499999999997</v>
      </c>
      <c r="BC10" s="1">
        <v>97</v>
      </c>
      <c r="BD10" s="1">
        <v>103</v>
      </c>
      <c r="BE10" s="1">
        <v>0.92749785007360896</v>
      </c>
      <c r="BF10" s="1">
        <v>0.997493170236183</v>
      </c>
      <c r="BG10" s="1">
        <v>0.84060080954449501</v>
      </c>
      <c r="BH10" s="1">
        <v>0.95926357335329504</v>
      </c>
      <c r="BI10" s="1">
        <v>0.92749785007360896</v>
      </c>
      <c r="BJ10" s="1">
        <v>0.84060080954449501</v>
      </c>
      <c r="BK10" s="1">
        <v>1</v>
      </c>
      <c r="BL10" s="1">
        <v>0.96730609464455197</v>
      </c>
      <c r="BM10" s="1">
        <v>1</v>
      </c>
      <c r="BN10" s="4" t="s">
        <v>84</v>
      </c>
      <c r="BO10" s="4" t="s">
        <v>127</v>
      </c>
      <c r="BP10" s="4" t="s">
        <v>206</v>
      </c>
      <c r="BQ10" s="4" t="s">
        <v>108</v>
      </c>
      <c r="BR10" s="4" t="s">
        <v>86</v>
      </c>
      <c r="BS10" s="5">
        <v>0.501</v>
      </c>
      <c r="BT10" s="6" t="s">
        <v>212</v>
      </c>
      <c r="BU10" s="6" t="s">
        <v>237</v>
      </c>
      <c r="BV10" s="7">
        <v>0.98099999999999998</v>
      </c>
      <c r="BW10" s="7">
        <v>0.92100000000000004</v>
      </c>
      <c r="BX10" s="7">
        <v>0.97799999999999998</v>
      </c>
      <c r="BY10" s="7">
        <v>0.94899999999999995</v>
      </c>
      <c r="BZ10" s="7">
        <v>0.95</v>
      </c>
      <c r="CA10" s="7">
        <v>0.89700000000000002</v>
      </c>
      <c r="CB10" s="7">
        <v>0.94</v>
      </c>
    </row>
    <row r="11" spans="1:80" x14ac:dyDescent="0.2">
      <c r="A11" s="1" t="s">
        <v>80</v>
      </c>
      <c r="B11" s="1" t="s">
        <v>126</v>
      </c>
      <c r="C11" s="1" t="s">
        <v>206</v>
      </c>
      <c r="D11" s="1" t="s">
        <v>106</v>
      </c>
      <c r="E11" s="1">
        <v>187</v>
      </c>
      <c r="F11" s="1">
        <v>343</v>
      </c>
      <c r="G11" s="1">
        <v>0.54518950437317804</v>
      </c>
      <c r="H11" s="1">
        <v>0.96899631560336297</v>
      </c>
      <c r="I11" s="1">
        <v>0.93977999052666605</v>
      </c>
      <c r="J11" s="1">
        <v>0.99113146441120603</v>
      </c>
      <c r="K11" s="1">
        <v>0.95636363636363597</v>
      </c>
      <c r="L11" s="1">
        <v>0.906187957157785</v>
      </c>
      <c r="M11" s="1">
        <v>0.99163830821584797</v>
      </c>
      <c r="N11" s="1">
        <v>0.97894736842105301</v>
      </c>
      <c r="O11" s="1">
        <v>0.94565217391304301</v>
      </c>
      <c r="P11" s="1">
        <v>1</v>
      </c>
      <c r="Q11" s="1">
        <v>0.98196719416476896</v>
      </c>
      <c r="R11" s="1">
        <v>0.95485650704467295</v>
      </c>
      <c r="S11" s="1">
        <v>1</v>
      </c>
      <c r="T11" s="1">
        <v>0.94927763819095501</v>
      </c>
      <c r="U11" s="1">
        <v>0.89675192840685702</v>
      </c>
      <c r="V11" s="1">
        <v>0.98989424206815502</v>
      </c>
      <c r="W11" s="1">
        <v>0.54518950437317804</v>
      </c>
      <c r="X11" s="1">
        <v>0.54518950437317804</v>
      </c>
      <c r="Y11" s="1">
        <v>0.54518950437317804</v>
      </c>
      <c r="Z11" s="1">
        <v>0.93327570409348004</v>
      </c>
      <c r="AA11" s="1">
        <v>0.87421693744191598</v>
      </c>
      <c r="AB11" s="1">
        <v>0.98058867611057998</v>
      </c>
      <c r="AC11" s="1">
        <v>0.96521741465631405</v>
      </c>
      <c r="AD11" s="1">
        <v>0.932645939123117</v>
      </c>
      <c r="AE11" s="1">
        <v>0.99022267709642697</v>
      </c>
      <c r="AF11" s="1">
        <v>0.94902946621907802</v>
      </c>
      <c r="AG11" s="1">
        <v>0.89203777490191505</v>
      </c>
      <c r="AH11" s="1">
        <v>0.99017924392867196</v>
      </c>
      <c r="AI11" s="1">
        <v>200</v>
      </c>
      <c r="AJ11" s="1">
        <v>103</v>
      </c>
      <c r="AK11" s="1">
        <v>97</v>
      </c>
      <c r="AL11" s="1">
        <v>97</v>
      </c>
      <c r="AM11" s="1">
        <v>4</v>
      </c>
      <c r="AN11" s="1">
        <v>3</v>
      </c>
      <c r="AO11" s="1">
        <v>1</v>
      </c>
      <c r="AP11" s="1">
        <v>0</v>
      </c>
      <c r="AQ11" s="1">
        <v>2</v>
      </c>
      <c r="AR11" s="1">
        <v>0</v>
      </c>
      <c r="AS11" s="1">
        <v>93</v>
      </c>
      <c r="AT11" s="1">
        <v>99</v>
      </c>
      <c r="AU11" s="1">
        <v>1</v>
      </c>
      <c r="AV11" s="1">
        <v>5</v>
      </c>
      <c r="AW11" s="1">
        <v>95</v>
      </c>
      <c r="AX11" s="1">
        <v>0.94</v>
      </c>
      <c r="AY11" s="1">
        <v>0.88953605141594705</v>
      </c>
      <c r="AZ11" s="1">
        <v>0.97999399819945998</v>
      </c>
      <c r="BA11" s="1">
        <v>618.5</v>
      </c>
      <c r="BB11" s="1">
        <v>857.28499999999997</v>
      </c>
      <c r="BC11" s="1">
        <v>105</v>
      </c>
      <c r="BD11" s="1">
        <v>95</v>
      </c>
      <c r="BE11" s="1">
        <v>0.89236543421393899</v>
      </c>
      <c r="BF11" s="1">
        <v>0.98435970786082605</v>
      </c>
      <c r="BG11" s="1">
        <v>0.92601345257117296</v>
      </c>
      <c r="BH11" s="1">
        <v>0.99744018201393803</v>
      </c>
      <c r="BI11" s="1">
        <v>0.89236543421393899</v>
      </c>
      <c r="BJ11" s="1">
        <v>0.92601345257117296</v>
      </c>
      <c r="BK11" s="1">
        <v>0.99163830821584797</v>
      </c>
      <c r="BL11" s="1">
        <v>1</v>
      </c>
      <c r="BM11" s="1">
        <v>1</v>
      </c>
      <c r="BN11" s="4" t="s">
        <v>84</v>
      </c>
      <c r="BO11" s="4" t="s">
        <v>127</v>
      </c>
      <c r="BP11" s="4" t="s">
        <v>206</v>
      </c>
      <c r="BQ11" s="4" t="s">
        <v>106</v>
      </c>
      <c r="BR11" s="4" t="s">
        <v>86</v>
      </c>
      <c r="BS11" s="5">
        <v>0.54500000000000004</v>
      </c>
      <c r="BT11" s="6" t="s">
        <v>236</v>
      </c>
      <c r="BU11" s="6" t="s">
        <v>212</v>
      </c>
      <c r="BV11" s="7">
        <v>0.94899999999999995</v>
      </c>
      <c r="BW11" s="7">
        <v>0.98199999999999998</v>
      </c>
      <c r="BX11" s="7">
        <v>0.94899999999999995</v>
      </c>
      <c r="BY11" s="7">
        <v>0.96899999999999997</v>
      </c>
      <c r="BZ11" s="7">
        <v>0.96499999999999997</v>
      </c>
      <c r="CA11" s="7">
        <v>0.93300000000000005</v>
      </c>
      <c r="CB11" s="7">
        <v>0.94</v>
      </c>
    </row>
    <row r="12" spans="1:80" x14ac:dyDescent="0.2">
      <c r="A12" s="1" t="s">
        <v>158</v>
      </c>
      <c r="B12" s="1" t="s">
        <v>81</v>
      </c>
      <c r="C12" s="1" t="s">
        <v>82</v>
      </c>
      <c r="D12" s="1" t="s">
        <v>108</v>
      </c>
      <c r="E12" s="1">
        <v>218</v>
      </c>
      <c r="F12" s="1">
        <v>1492</v>
      </c>
      <c r="G12" s="1">
        <v>0.14611260053619299</v>
      </c>
      <c r="H12" s="1">
        <v>0.89160151641471797</v>
      </c>
      <c r="I12" s="1">
        <v>0.82107888149432096</v>
      </c>
      <c r="J12" s="1">
        <v>0.95827050700533201</v>
      </c>
      <c r="K12" s="1">
        <v>0.97278911564625803</v>
      </c>
      <c r="L12" s="1">
        <v>0.94405594405594395</v>
      </c>
      <c r="M12" s="1">
        <v>0.99358974358974395</v>
      </c>
      <c r="N12" s="1">
        <v>0.96418105703820001</v>
      </c>
      <c r="O12" s="1">
        <v>0.93300819078880304</v>
      </c>
      <c r="P12" s="1">
        <v>0.99028049210265001</v>
      </c>
      <c r="Q12" s="1">
        <v>0.82292164373147303</v>
      </c>
      <c r="R12" s="1">
        <v>0.71328931781270299</v>
      </c>
      <c r="S12" s="1">
        <v>0.94459673862855498</v>
      </c>
      <c r="T12" s="1">
        <v>0.99519405385415405</v>
      </c>
      <c r="U12" s="1">
        <v>0.99015537672160103</v>
      </c>
      <c r="V12" s="1">
        <v>0.99886653202059905</v>
      </c>
      <c r="W12" s="1">
        <v>0.14611260053619299</v>
      </c>
      <c r="X12" s="1">
        <v>0.14611260053619299</v>
      </c>
      <c r="Y12" s="1">
        <v>0.14611260053619299</v>
      </c>
      <c r="Z12" s="1">
        <v>0.87552841555409899</v>
      </c>
      <c r="AA12" s="1">
        <v>0.79838052682727301</v>
      </c>
      <c r="AB12" s="1">
        <v>0.95114947740544198</v>
      </c>
      <c r="AC12" s="1">
        <v>0.90125759817231599</v>
      </c>
      <c r="AD12" s="1">
        <v>0.83134314981697899</v>
      </c>
      <c r="AE12" s="1">
        <v>0.96930974208005505</v>
      </c>
      <c r="AF12" s="1">
        <v>0.99607660311068902</v>
      </c>
      <c r="AG12" s="1">
        <v>0.991557930714701</v>
      </c>
      <c r="AH12" s="1">
        <v>0.99912837551263101</v>
      </c>
      <c r="AI12" s="1">
        <v>300</v>
      </c>
      <c r="AJ12" s="1">
        <v>150</v>
      </c>
      <c r="AK12" s="1">
        <v>150</v>
      </c>
      <c r="AL12" s="1">
        <v>143</v>
      </c>
      <c r="AM12" s="1">
        <v>0</v>
      </c>
      <c r="AN12" s="1">
        <v>4</v>
      </c>
      <c r="AO12" s="1">
        <v>0</v>
      </c>
      <c r="AP12" s="1">
        <v>2</v>
      </c>
      <c r="AQ12" s="1">
        <v>5</v>
      </c>
      <c r="AR12" s="1">
        <v>1</v>
      </c>
      <c r="AS12" s="1">
        <v>145</v>
      </c>
      <c r="AT12" s="1">
        <v>145</v>
      </c>
      <c r="AU12" s="1">
        <v>3</v>
      </c>
      <c r="AV12" s="1">
        <v>5</v>
      </c>
      <c r="AW12" s="1">
        <v>147</v>
      </c>
      <c r="AX12" s="1">
        <v>0.94666666666666699</v>
      </c>
      <c r="AY12" s="1">
        <v>0.90651678186634599</v>
      </c>
      <c r="AZ12" s="1">
        <v>0.97997329773030695</v>
      </c>
      <c r="BA12" s="1">
        <v>879.5</v>
      </c>
      <c r="BB12" s="1">
        <v>1105.92333333333</v>
      </c>
      <c r="BC12" s="1">
        <v>147</v>
      </c>
      <c r="BD12" s="1">
        <v>153</v>
      </c>
      <c r="BE12" s="1">
        <v>0.93179658787761699</v>
      </c>
      <c r="BF12" s="1">
        <v>0.99253723274181804</v>
      </c>
      <c r="BG12" s="1">
        <v>0.92538652690480006</v>
      </c>
      <c r="BH12" s="1">
        <v>0.98930543321192199</v>
      </c>
      <c r="BI12" s="1">
        <v>0.93179658787761699</v>
      </c>
      <c r="BJ12" s="1">
        <v>0.92538652690480006</v>
      </c>
      <c r="BK12" s="1">
        <v>0.99358974358974395</v>
      </c>
      <c r="BL12" s="1">
        <v>0.99028049210265001</v>
      </c>
      <c r="BM12" s="1">
        <v>2</v>
      </c>
      <c r="BN12" s="8" t="s">
        <v>159</v>
      </c>
      <c r="BO12" s="8" t="s">
        <v>85</v>
      </c>
      <c r="BP12" s="8" t="s">
        <v>82</v>
      </c>
      <c r="BQ12" s="8" t="s">
        <v>108</v>
      </c>
      <c r="BR12" s="8" t="s">
        <v>86</v>
      </c>
      <c r="BS12" s="7">
        <v>0.14599999999999999</v>
      </c>
      <c r="BT12" s="9" t="s">
        <v>168</v>
      </c>
      <c r="BU12" s="9" t="s">
        <v>182</v>
      </c>
      <c r="BV12" s="7">
        <v>0.996</v>
      </c>
      <c r="BW12" s="7">
        <v>0.82299999999999995</v>
      </c>
      <c r="BX12" s="7">
        <v>0.995</v>
      </c>
      <c r="BY12" s="7">
        <v>0.89200000000000002</v>
      </c>
      <c r="BZ12" s="7">
        <v>0.90100000000000002</v>
      </c>
      <c r="CA12" s="7">
        <v>0.876</v>
      </c>
      <c r="CB12" s="7">
        <v>0.94699999999999995</v>
      </c>
    </row>
    <row r="13" spans="1:80" x14ac:dyDescent="0.2">
      <c r="A13" s="1" t="s">
        <v>158</v>
      </c>
      <c r="B13" s="1" t="s">
        <v>81</v>
      </c>
      <c r="C13" s="1" t="s">
        <v>82</v>
      </c>
      <c r="D13" s="1" t="s">
        <v>119</v>
      </c>
      <c r="E13" s="1" t="s">
        <v>93</v>
      </c>
      <c r="F13" s="1" t="s">
        <v>93</v>
      </c>
      <c r="G13" s="1">
        <v>0.14100520132476599</v>
      </c>
      <c r="H13" s="1">
        <v>0.85444570378542795</v>
      </c>
      <c r="I13" s="1">
        <v>0.77343764535126402</v>
      </c>
      <c r="J13" s="1">
        <v>0.92506795319018398</v>
      </c>
      <c r="K13" s="1">
        <v>0.92306534528609896</v>
      </c>
      <c r="L13" s="1">
        <v>0.82176990728862798</v>
      </c>
      <c r="M13" s="1">
        <v>0.99092932773376496</v>
      </c>
      <c r="N13" s="1">
        <v>0.96100541325774902</v>
      </c>
      <c r="O13" s="1">
        <v>0.93362101645823903</v>
      </c>
      <c r="P13" s="1">
        <v>0.98208028273959003</v>
      </c>
      <c r="Q13" s="1">
        <v>0.79532233431149801</v>
      </c>
      <c r="R13" s="1">
        <v>0.68384556804779695</v>
      </c>
      <c r="S13" s="1">
        <v>0.898083414646351</v>
      </c>
      <c r="T13" s="1">
        <v>0.98702908173456505</v>
      </c>
      <c r="U13" s="1">
        <v>0.96712261431875501</v>
      </c>
      <c r="V13" s="1">
        <v>0.99852380351245495</v>
      </c>
      <c r="W13" s="1">
        <v>0.14100520132476599</v>
      </c>
      <c r="X13" s="1">
        <v>0.122288569339508</v>
      </c>
      <c r="Y13" s="1">
        <v>0.16415184147144199</v>
      </c>
      <c r="Z13" s="1">
        <v>0.83165738728859695</v>
      </c>
      <c r="AA13" s="1">
        <v>0.73891506184636702</v>
      </c>
      <c r="AB13" s="1">
        <v>0.91356095820288996</v>
      </c>
      <c r="AC13" s="1">
        <v>0.88174360973216703</v>
      </c>
      <c r="AD13" s="1">
        <v>0.80904365976417703</v>
      </c>
      <c r="AE13" s="1">
        <v>0.94138939510865904</v>
      </c>
      <c r="AF13" s="1">
        <v>0.98923591263027</v>
      </c>
      <c r="AG13" s="1">
        <v>0.96891634302057605</v>
      </c>
      <c r="AH13" s="1">
        <v>0.99889096981608605</v>
      </c>
      <c r="AI13" s="1">
        <v>237</v>
      </c>
      <c r="AJ13" s="1">
        <v>112</v>
      </c>
      <c r="AK13" s="1">
        <v>125</v>
      </c>
      <c r="AL13" s="1">
        <v>94</v>
      </c>
      <c r="AM13" s="1">
        <v>1</v>
      </c>
      <c r="AN13" s="1">
        <v>3</v>
      </c>
      <c r="AO13" s="1">
        <v>1</v>
      </c>
      <c r="AP13" s="1">
        <v>15</v>
      </c>
      <c r="AQ13" s="1">
        <v>2</v>
      </c>
      <c r="AR13" s="1">
        <v>2</v>
      </c>
      <c r="AS13" s="1">
        <v>119</v>
      </c>
      <c r="AT13" s="1">
        <v>107</v>
      </c>
      <c r="AU13" s="1">
        <v>3</v>
      </c>
      <c r="AV13" s="1">
        <v>4</v>
      </c>
      <c r="AW13" s="1">
        <v>123</v>
      </c>
      <c r="AX13" s="1">
        <v>0.94065886897735795</v>
      </c>
      <c r="AY13" s="1">
        <v>0.89030512336668199</v>
      </c>
      <c r="AZ13" s="1">
        <v>0.98286705703751898</v>
      </c>
      <c r="BA13" s="1">
        <v>4895</v>
      </c>
      <c r="BB13" s="1">
        <v>5199.8270042194099</v>
      </c>
      <c r="BC13" s="1">
        <v>99</v>
      </c>
      <c r="BD13" s="1">
        <v>138</v>
      </c>
      <c r="BE13" s="1">
        <v>0.84697302001985397</v>
      </c>
      <c r="BF13" s="1">
        <v>0.96446648373992405</v>
      </c>
      <c r="BG13" s="1">
        <v>0.91747366811895703</v>
      </c>
      <c r="BH13" s="1">
        <v>0.98813275774208198</v>
      </c>
      <c r="BI13" s="1">
        <v>0.82176990728862798</v>
      </c>
      <c r="BJ13" s="1">
        <v>0.91747366811895703</v>
      </c>
      <c r="BK13" s="1">
        <v>0.99092932773376496</v>
      </c>
      <c r="BL13" s="1">
        <v>0.98813275774208198</v>
      </c>
      <c r="BM13" s="1">
        <v>2</v>
      </c>
      <c r="BN13" s="8" t="s">
        <v>159</v>
      </c>
      <c r="BO13" s="8" t="s">
        <v>85</v>
      </c>
      <c r="BP13" s="8" t="s">
        <v>82</v>
      </c>
      <c r="BQ13" s="8" t="s">
        <v>108</v>
      </c>
      <c r="BR13" s="8" t="s">
        <v>100</v>
      </c>
      <c r="BS13" s="7">
        <v>0.14099999999999999</v>
      </c>
      <c r="BT13" s="9" t="s">
        <v>177</v>
      </c>
      <c r="BU13" s="9" t="s">
        <v>178</v>
      </c>
      <c r="BV13" s="7">
        <v>0.98899999999999999</v>
      </c>
      <c r="BW13" s="7">
        <v>0.79500000000000004</v>
      </c>
      <c r="BX13" s="7">
        <v>0.98699999999999999</v>
      </c>
      <c r="BY13" s="7">
        <v>0.85399999999999998</v>
      </c>
      <c r="BZ13" s="7">
        <v>0.88200000000000001</v>
      </c>
      <c r="CA13" s="7">
        <v>0.83199999999999996</v>
      </c>
      <c r="CB13" s="7">
        <v>0.94099999999999995</v>
      </c>
    </row>
    <row r="14" spans="1:80" x14ac:dyDescent="0.2">
      <c r="A14" s="1" t="s">
        <v>158</v>
      </c>
      <c r="B14" s="1" t="s">
        <v>81</v>
      </c>
      <c r="C14" s="1" t="s">
        <v>82</v>
      </c>
      <c r="D14" s="1" t="s">
        <v>106</v>
      </c>
      <c r="E14" s="1">
        <v>267</v>
      </c>
      <c r="F14" s="1">
        <v>1492</v>
      </c>
      <c r="G14" s="1">
        <v>0.178954423592493</v>
      </c>
      <c r="H14" s="1">
        <v>0.93812581467989598</v>
      </c>
      <c r="I14" s="1">
        <v>0.88040008719419904</v>
      </c>
      <c r="J14" s="1">
        <v>0.98582095376850398</v>
      </c>
      <c r="K14" s="1">
        <v>0.91161048689138602</v>
      </c>
      <c r="L14" s="1">
        <v>0.82878615707262904</v>
      </c>
      <c r="M14" s="1">
        <v>0.98378122295283599</v>
      </c>
      <c r="N14" s="1">
        <v>0.99305555555555602</v>
      </c>
      <c r="O14" s="1">
        <v>0.97777777777777797</v>
      </c>
      <c r="P14" s="1">
        <v>1</v>
      </c>
      <c r="Q14" s="1">
        <v>0.96622981369884198</v>
      </c>
      <c r="R14" s="1">
        <v>0.89702808042364701</v>
      </c>
      <c r="S14" s="1">
        <v>1</v>
      </c>
      <c r="T14" s="1">
        <v>0.980969170100362</v>
      </c>
      <c r="U14" s="1">
        <v>0.96374972521305802</v>
      </c>
      <c r="V14" s="1">
        <v>0.99645263630459502</v>
      </c>
      <c r="W14" s="1">
        <v>0.178954423592493</v>
      </c>
      <c r="X14" s="1">
        <v>0.178954423592493</v>
      </c>
      <c r="Y14" s="1">
        <v>0.178954423592493</v>
      </c>
      <c r="Z14" s="1">
        <v>0.925688260746235</v>
      </c>
      <c r="AA14" s="1">
        <v>0.85741706154473996</v>
      </c>
      <c r="AB14" s="1">
        <v>0.98292938788237005</v>
      </c>
      <c r="AC14" s="1">
        <v>0.97306078254313699</v>
      </c>
      <c r="AD14" s="1">
        <v>0.93441000334903501</v>
      </c>
      <c r="AE14" s="1">
        <v>0.99687489362579496</v>
      </c>
      <c r="AF14" s="1">
        <v>0.97998902508252195</v>
      </c>
      <c r="AG14" s="1">
        <v>0.95820354757805903</v>
      </c>
      <c r="AH14" s="1">
        <v>0.99653523082634299</v>
      </c>
      <c r="AI14" s="1">
        <v>300</v>
      </c>
      <c r="AJ14" s="1">
        <v>150</v>
      </c>
      <c r="AK14" s="1">
        <v>150</v>
      </c>
      <c r="AL14" s="1">
        <v>145</v>
      </c>
      <c r="AM14" s="1">
        <v>4</v>
      </c>
      <c r="AN14" s="1">
        <v>5</v>
      </c>
      <c r="AO14" s="1">
        <v>2</v>
      </c>
      <c r="AP14" s="1">
        <v>0</v>
      </c>
      <c r="AQ14" s="1">
        <v>1</v>
      </c>
      <c r="AR14" s="1">
        <v>0</v>
      </c>
      <c r="AS14" s="1">
        <v>143</v>
      </c>
      <c r="AT14" s="1">
        <v>145</v>
      </c>
      <c r="AU14" s="1">
        <v>3</v>
      </c>
      <c r="AV14" s="1">
        <v>5</v>
      </c>
      <c r="AW14" s="1">
        <v>147</v>
      </c>
      <c r="AX14" s="1">
        <v>0.94666666666666699</v>
      </c>
      <c r="AY14" s="1">
        <v>0.90662931839402405</v>
      </c>
      <c r="AZ14" s="1">
        <v>0.97997329773030695</v>
      </c>
      <c r="BA14" s="1">
        <v>879.5</v>
      </c>
      <c r="BB14" s="1">
        <v>1105.92333333333</v>
      </c>
      <c r="BC14" s="1">
        <v>156</v>
      </c>
      <c r="BD14" s="1">
        <v>144</v>
      </c>
      <c r="BE14" s="1">
        <v>0.85401004555068805</v>
      </c>
      <c r="BF14" s="1">
        <v>0.95006488550521795</v>
      </c>
      <c r="BG14" s="1">
        <v>0.96191666717021695</v>
      </c>
      <c r="BH14" s="1">
        <v>0.999824197344096</v>
      </c>
      <c r="BI14" s="1">
        <v>0.82878615707262904</v>
      </c>
      <c r="BJ14" s="1">
        <v>0.96191666717021695</v>
      </c>
      <c r="BK14" s="1">
        <v>0.98378122295283599</v>
      </c>
      <c r="BL14" s="1">
        <v>1</v>
      </c>
      <c r="BM14" s="1">
        <v>2</v>
      </c>
      <c r="BN14" s="8" t="s">
        <v>159</v>
      </c>
      <c r="BO14" s="8" t="s">
        <v>85</v>
      </c>
      <c r="BP14" s="8" t="s">
        <v>82</v>
      </c>
      <c r="BQ14" s="8" t="s">
        <v>106</v>
      </c>
      <c r="BR14" s="8" t="s">
        <v>86</v>
      </c>
      <c r="BS14" s="7">
        <v>0.17899999999999999</v>
      </c>
      <c r="BT14" s="9" t="s">
        <v>181</v>
      </c>
      <c r="BU14" s="9" t="s">
        <v>138</v>
      </c>
      <c r="BV14" s="7">
        <v>0.98</v>
      </c>
      <c r="BW14" s="7">
        <v>0.96599999999999997</v>
      </c>
      <c r="BX14" s="7">
        <v>0.98099999999999998</v>
      </c>
      <c r="BY14" s="7">
        <v>0.93799999999999994</v>
      </c>
      <c r="BZ14" s="7">
        <v>0.97299999999999998</v>
      </c>
      <c r="CA14" s="7">
        <v>0.92600000000000005</v>
      </c>
      <c r="CB14" s="7">
        <v>0.94699999999999995</v>
      </c>
    </row>
    <row r="15" spans="1:80" x14ac:dyDescent="0.2">
      <c r="A15" s="1" t="s">
        <v>158</v>
      </c>
      <c r="B15" s="1" t="s">
        <v>81</v>
      </c>
      <c r="C15" s="1" t="s">
        <v>82</v>
      </c>
      <c r="D15" s="1" t="s">
        <v>117</v>
      </c>
      <c r="E15" s="1" t="s">
        <v>93</v>
      </c>
      <c r="F15" s="1" t="s">
        <v>93</v>
      </c>
      <c r="G15" s="1">
        <v>0.197868305760806</v>
      </c>
      <c r="H15" s="1">
        <v>0.86710332635360099</v>
      </c>
      <c r="I15" s="1">
        <v>0.78474731011815402</v>
      </c>
      <c r="J15" s="1">
        <v>0.94578570178346</v>
      </c>
      <c r="K15" s="1">
        <v>0.79213410674737095</v>
      </c>
      <c r="L15" s="1">
        <v>0.67207853438189802</v>
      </c>
      <c r="M15" s="1">
        <v>0.91781619744520704</v>
      </c>
      <c r="N15" s="1">
        <v>0.99137931034482796</v>
      </c>
      <c r="O15" s="1">
        <v>0.97247706422018299</v>
      </c>
      <c r="P15" s="1">
        <v>1</v>
      </c>
      <c r="Q15" s="1">
        <v>0.95774644184944102</v>
      </c>
      <c r="R15" s="1">
        <v>0.87237245703543198</v>
      </c>
      <c r="S15" s="1">
        <v>1</v>
      </c>
      <c r="T15" s="1">
        <v>0.95082175210528197</v>
      </c>
      <c r="U15" s="1">
        <v>0.91083124278162397</v>
      </c>
      <c r="V15" s="1">
        <v>0.98354881380140502</v>
      </c>
      <c r="W15" s="1">
        <v>0.197868305760806</v>
      </c>
      <c r="X15" s="1">
        <v>0.16412822409170699</v>
      </c>
      <c r="Y15" s="1">
        <v>0.235846389075067</v>
      </c>
      <c r="Z15" s="1">
        <v>0.84372707098134103</v>
      </c>
      <c r="AA15" s="1">
        <v>0.74766254757307304</v>
      </c>
      <c r="AB15" s="1">
        <v>0.93651344383385604</v>
      </c>
      <c r="AC15" s="1">
        <v>0.949616227460782</v>
      </c>
      <c r="AD15" s="1">
        <v>0.899753923089325</v>
      </c>
      <c r="AE15" s="1">
        <v>0.98717934738926805</v>
      </c>
      <c r="AF15" s="1">
        <v>0.94162288434979202</v>
      </c>
      <c r="AG15" s="1">
        <v>0.87862218193584196</v>
      </c>
      <c r="AH15" s="1">
        <v>0.98266581615676196</v>
      </c>
      <c r="AI15" s="1">
        <v>237</v>
      </c>
      <c r="AJ15" s="1">
        <v>112</v>
      </c>
      <c r="AK15" s="1">
        <v>125</v>
      </c>
      <c r="AL15" s="1">
        <v>109</v>
      </c>
      <c r="AM15" s="1">
        <v>2</v>
      </c>
      <c r="AN15" s="1">
        <v>5</v>
      </c>
      <c r="AO15" s="1">
        <v>5</v>
      </c>
      <c r="AP15" s="1">
        <v>0</v>
      </c>
      <c r="AQ15" s="1">
        <v>1</v>
      </c>
      <c r="AR15" s="1">
        <v>0</v>
      </c>
      <c r="AS15" s="1">
        <v>115</v>
      </c>
      <c r="AT15" s="1">
        <v>107</v>
      </c>
      <c r="AU15" s="1">
        <v>3</v>
      </c>
      <c r="AV15" s="1">
        <v>4</v>
      </c>
      <c r="AW15" s="1">
        <v>123</v>
      </c>
      <c r="AX15" s="1">
        <v>0.94065886897735795</v>
      </c>
      <c r="AY15" s="1">
        <v>0.89497706755397699</v>
      </c>
      <c r="AZ15" s="1">
        <v>0.98270072992700697</v>
      </c>
      <c r="BA15" s="1">
        <v>4895</v>
      </c>
      <c r="BB15" s="1">
        <v>5199.8270042194099</v>
      </c>
      <c r="BC15" s="1">
        <v>121</v>
      </c>
      <c r="BD15" s="1">
        <v>116</v>
      </c>
      <c r="BE15" s="1">
        <v>0.710291573218368</v>
      </c>
      <c r="BF15" s="1">
        <v>0.86160463223884698</v>
      </c>
      <c r="BG15" s="1">
        <v>0.95290446377335303</v>
      </c>
      <c r="BH15" s="1">
        <v>0.999781766850937</v>
      </c>
      <c r="BI15" s="1">
        <v>0.67207853438189802</v>
      </c>
      <c r="BJ15" s="1">
        <v>0.95290446377335303</v>
      </c>
      <c r="BK15" s="1">
        <v>0.91781619744520704</v>
      </c>
      <c r="BL15" s="1">
        <v>1</v>
      </c>
      <c r="BM15" s="1">
        <v>2</v>
      </c>
      <c r="BN15" s="8" t="s">
        <v>159</v>
      </c>
      <c r="BO15" s="8" t="s">
        <v>85</v>
      </c>
      <c r="BP15" s="8" t="s">
        <v>82</v>
      </c>
      <c r="BQ15" s="8" t="s">
        <v>106</v>
      </c>
      <c r="BR15" s="8" t="s">
        <v>100</v>
      </c>
      <c r="BS15" s="7">
        <v>0.19800000000000001</v>
      </c>
      <c r="BT15" s="9" t="s">
        <v>179</v>
      </c>
      <c r="BU15" s="9" t="s">
        <v>180</v>
      </c>
      <c r="BV15" s="7">
        <v>0.94199999999999995</v>
      </c>
      <c r="BW15" s="7">
        <v>0.95799999999999996</v>
      </c>
      <c r="BX15" s="7">
        <v>0.95099999999999996</v>
      </c>
      <c r="BY15" s="7">
        <v>0.86699999999999999</v>
      </c>
      <c r="BZ15" s="7">
        <v>0.95</v>
      </c>
      <c r="CA15" s="7">
        <v>0.84399999999999997</v>
      </c>
      <c r="CB15" s="7">
        <v>0.94099999999999995</v>
      </c>
    </row>
    <row r="16" spans="1:80" x14ac:dyDescent="0.2">
      <c r="A16" s="1" t="s">
        <v>158</v>
      </c>
      <c r="B16" s="1" t="s">
        <v>81</v>
      </c>
      <c r="C16" s="1" t="s">
        <v>206</v>
      </c>
      <c r="D16" s="1" t="s">
        <v>108</v>
      </c>
      <c r="E16" s="1">
        <v>182</v>
      </c>
      <c r="F16" s="1">
        <v>1000</v>
      </c>
      <c r="G16" s="1">
        <v>0.182</v>
      </c>
      <c r="H16" s="1">
        <v>0.90755628528656496</v>
      </c>
      <c r="I16" s="1">
        <v>0.83309684282521701</v>
      </c>
      <c r="J16" s="1">
        <v>0.975761549494084</v>
      </c>
      <c r="K16" s="1">
        <v>0.97938144329896903</v>
      </c>
      <c r="L16" s="1">
        <v>0.94736842105263197</v>
      </c>
      <c r="M16" s="1">
        <v>1</v>
      </c>
      <c r="N16" s="1">
        <v>0.96019559902200502</v>
      </c>
      <c r="O16" s="1">
        <v>0.91876652861633701</v>
      </c>
      <c r="P16" s="1">
        <v>0.99069990631355298</v>
      </c>
      <c r="Q16" s="1">
        <v>0.84554623558316799</v>
      </c>
      <c r="R16" s="1">
        <v>0.72839874099851798</v>
      </c>
      <c r="S16" s="1">
        <v>0.95910137797818895</v>
      </c>
      <c r="T16" s="1">
        <v>0.99524504230344801</v>
      </c>
      <c r="U16" s="1">
        <v>0.98793913213724405</v>
      </c>
      <c r="V16" s="1">
        <v>1</v>
      </c>
      <c r="W16" s="1">
        <v>0.182</v>
      </c>
      <c r="X16" s="1">
        <v>0.182</v>
      </c>
      <c r="Y16" s="1">
        <v>0.182</v>
      </c>
      <c r="Z16" s="1">
        <v>0.88881279361065602</v>
      </c>
      <c r="AA16" s="1">
        <v>0.80312191613318595</v>
      </c>
      <c r="AB16" s="1">
        <v>0.97063882548408298</v>
      </c>
      <c r="AC16" s="1">
        <v>0.91465030096425004</v>
      </c>
      <c r="AD16" s="1">
        <v>0.84112068135213003</v>
      </c>
      <c r="AE16" s="1">
        <v>0.97793269073867795</v>
      </c>
      <c r="AF16" s="1">
        <v>0.99605501676196295</v>
      </c>
      <c r="AG16" s="1">
        <v>0.98953026098098895</v>
      </c>
      <c r="AH16" s="1">
        <v>1</v>
      </c>
      <c r="AI16" s="1">
        <v>200</v>
      </c>
      <c r="AJ16" s="1">
        <v>99</v>
      </c>
      <c r="AK16" s="1">
        <v>101</v>
      </c>
      <c r="AL16" s="1">
        <v>95</v>
      </c>
      <c r="AM16" s="1">
        <v>0</v>
      </c>
      <c r="AN16" s="1">
        <v>2</v>
      </c>
      <c r="AO16" s="1">
        <v>0</v>
      </c>
      <c r="AP16" s="1">
        <v>0</v>
      </c>
      <c r="AQ16" s="1">
        <v>4</v>
      </c>
      <c r="AR16" s="1">
        <v>3</v>
      </c>
      <c r="AS16" s="1">
        <v>96</v>
      </c>
      <c r="AT16" s="1">
        <v>97</v>
      </c>
      <c r="AU16" s="1">
        <v>0</v>
      </c>
      <c r="AV16" s="1">
        <v>3</v>
      </c>
      <c r="AW16" s="1">
        <v>100</v>
      </c>
      <c r="AX16" s="1">
        <v>0.97</v>
      </c>
      <c r="AY16" s="1">
        <v>0.93</v>
      </c>
      <c r="AZ16" s="1">
        <v>1</v>
      </c>
      <c r="BA16" s="1">
        <v>698</v>
      </c>
      <c r="BB16" s="1">
        <v>1044.2850000000001</v>
      </c>
      <c r="BC16" s="1">
        <v>97</v>
      </c>
      <c r="BD16" s="1">
        <v>103</v>
      </c>
      <c r="BE16" s="1">
        <v>0.92749785007360896</v>
      </c>
      <c r="BF16" s="1">
        <v>0.997493170236183</v>
      </c>
      <c r="BG16" s="1">
        <v>0.903545521623496</v>
      </c>
      <c r="BH16" s="1">
        <v>0.98931906721016905</v>
      </c>
      <c r="BI16" s="1">
        <v>0.92749785007360896</v>
      </c>
      <c r="BJ16" s="1">
        <v>0.903545521623496</v>
      </c>
      <c r="BK16" s="1">
        <v>1</v>
      </c>
      <c r="BL16" s="1">
        <v>0.99069990631355298</v>
      </c>
      <c r="BM16" s="1">
        <v>2</v>
      </c>
      <c r="BN16" s="8" t="s">
        <v>159</v>
      </c>
      <c r="BO16" s="8" t="s">
        <v>85</v>
      </c>
      <c r="BP16" s="8" t="s">
        <v>206</v>
      </c>
      <c r="BQ16" s="8" t="s">
        <v>108</v>
      </c>
      <c r="BR16" s="8" t="s">
        <v>86</v>
      </c>
      <c r="BS16" s="7">
        <v>0.182</v>
      </c>
      <c r="BT16" s="9" t="s">
        <v>212</v>
      </c>
      <c r="BU16" s="9" t="s">
        <v>209</v>
      </c>
      <c r="BV16" s="7">
        <v>0.996</v>
      </c>
      <c r="BW16" s="7">
        <v>0.84599999999999997</v>
      </c>
      <c r="BX16" s="7">
        <v>0.995</v>
      </c>
      <c r="BY16" s="7">
        <v>0.90800000000000003</v>
      </c>
      <c r="BZ16" s="7">
        <v>0.91500000000000004</v>
      </c>
      <c r="CA16" s="7">
        <v>0.88900000000000001</v>
      </c>
      <c r="CB16" s="7">
        <v>0.97</v>
      </c>
    </row>
    <row r="17" spans="1:80" x14ac:dyDescent="0.2">
      <c r="A17" s="1" t="s">
        <v>158</v>
      </c>
      <c r="B17" s="1" t="s">
        <v>81</v>
      </c>
      <c r="C17" s="1" t="s">
        <v>206</v>
      </c>
      <c r="D17" s="1" t="s">
        <v>106</v>
      </c>
      <c r="E17" s="1">
        <v>223</v>
      </c>
      <c r="F17" s="1">
        <v>1000</v>
      </c>
      <c r="G17" s="1">
        <v>0.223</v>
      </c>
      <c r="H17" s="1">
        <v>0.93687373308989497</v>
      </c>
      <c r="I17" s="1">
        <v>0.86047615481529205</v>
      </c>
      <c r="J17" s="1">
        <v>0.98773033707865199</v>
      </c>
      <c r="K17" s="1">
        <v>0.91322869955157004</v>
      </c>
      <c r="L17" s="1">
        <v>0.78831242883450203</v>
      </c>
      <c r="M17" s="1">
        <v>0.983838742618656</v>
      </c>
      <c r="N17" s="1">
        <v>0.98958333333333304</v>
      </c>
      <c r="O17" s="1">
        <v>0.96590909090909105</v>
      </c>
      <c r="P17" s="1">
        <v>1</v>
      </c>
      <c r="Q17" s="1">
        <v>0.96177573127896299</v>
      </c>
      <c r="R17" s="1">
        <v>0.88259784929156404</v>
      </c>
      <c r="S17" s="1">
        <v>1</v>
      </c>
      <c r="T17" s="1">
        <v>0.97545214516218604</v>
      </c>
      <c r="U17" s="1">
        <v>0.94237272883003398</v>
      </c>
      <c r="V17" s="1">
        <v>0.99533135065372302</v>
      </c>
      <c r="W17" s="1">
        <v>0.223</v>
      </c>
      <c r="X17" s="1">
        <v>0.223</v>
      </c>
      <c r="Y17" s="1">
        <v>0.223</v>
      </c>
      <c r="Z17" s="1">
        <v>0.91985901333097497</v>
      </c>
      <c r="AA17" s="1">
        <v>0.82745410076815695</v>
      </c>
      <c r="AB17" s="1">
        <v>0.98438621970104001</v>
      </c>
      <c r="AC17" s="1">
        <v>0.96806790719457503</v>
      </c>
      <c r="AD17" s="1">
        <v>0.92168754883093595</v>
      </c>
      <c r="AE17" s="1">
        <v>0.99644751289139899</v>
      </c>
      <c r="AF17" s="1">
        <v>0.97444295523819102</v>
      </c>
      <c r="AG17" s="1">
        <v>0.93133179992866999</v>
      </c>
      <c r="AH17" s="1">
        <v>0.99547054642908905</v>
      </c>
      <c r="AI17" s="1">
        <v>200</v>
      </c>
      <c r="AJ17" s="1">
        <v>99</v>
      </c>
      <c r="AK17" s="1">
        <v>101</v>
      </c>
      <c r="AL17" s="1">
        <v>95</v>
      </c>
      <c r="AM17" s="1">
        <v>3</v>
      </c>
      <c r="AN17" s="1">
        <v>5</v>
      </c>
      <c r="AO17" s="1">
        <v>1</v>
      </c>
      <c r="AP17" s="1">
        <v>0</v>
      </c>
      <c r="AQ17" s="1">
        <v>1</v>
      </c>
      <c r="AR17" s="1">
        <v>0</v>
      </c>
      <c r="AS17" s="1">
        <v>95</v>
      </c>
      <c r="AT17" s="1">
        <v>97</v>
      </c>
      <c r="AU17" s="1">
        <v>0</v>
      </c>
      <c r="AV17" s="1">
        <v>3</v>
      </c>
      <c r="AW17" s="1">
        <v>100</v>
      </c>
      <c r="AX17" s="1">
        <v>0.97</v>
      </c>
      <c r="AY17" s="1">
        <v>0.93</v>
      </c>
      <c r="AZ17" s="1">
        <v>1</v>
      </c>
      <c r="BA17" s="1">
        <v>698</v>
      </c>
      <c r="BB17" s="1">
        <v>1044.2850000000001</v>
      </c>
      <c r="BC17" s="1">
        <v>104</v>
      </c>
      <c r="BD17" s="1">
        <v>96</v>
      </c>
      <c r="BE17" s="1">
        <v>0.84207218064675105</v>
      </c>
      <c r="BF17" s="1">
        <v>0.95966298628642999</v>
      </c>
      <c r="BG17" s="1">
        <v>0.943325293011685</v>
      </c>
      <c r="BH17" s="1">
        <v>0.99973630760644905</v>
      </c>
      <c r="BI17" s="1">
        <v>0.78831242883450203</v>
      </c>
      <c r="BJ17" s="1">
        <v>0.943325293011685</v>
      </c>
      <c r="BK17" s="1">
        <v>0.983838742618656</v>
      </c>
      <c r="BL17" s="1">
        <v>1</v>
      </c>
      <c r="BM17" s="1">
        <v>2</v>
      </c>
      <c r="BN17" s="8" t="s">
        <v>159</v>
      </c>
      <c r="BO17" s="8" t="s">
        <v>85</v>
      </c>
      <c r="BP17" s="8" t="s">
        <v>206</v>
      </c>
      <c r="BQ17" s="8" t="s">
        <v>106</v>
      </c>
      <c r="BR17" s="8" t="s">
        <v>86</v>
      </c>
      <c r="BS17" s="7">
        <v>0.223</v>
      </c>
      <c r="BT17" s="9" t="s">
        <v>210</v>
      </c>
      <c r="BU17" s="9" t="s">
        <v>211</v>
      </c>
      <c r="BV17" s="7">
        <v>0.97399999999999998</v>
      </c>
      <c r="BW17" s="7">
        <v>0.96199999999999997</v>
      </c>
      <c r="BX17" s="7">
        <v>0.97499999999999998</v>
      </c>
      <c r="BY17" s="7">
        <v>0.93700000000000006</v>
      </c>
      <c r="BZ17" s="7">
        <v>0.96799999999999997</v>
      </c>
      <c r="CA17" s="7">
        <v>0.92</v>
      </c>
      <c r="CB17" s="7">
        <v>0.97</v>
      </c>
    </row>
    <row r="18" spans="1:80" x14ac:dyDescent="0.2">
      <c r="A18" s="1" t="s">
        <v>158</v>
      </c>
      <c r="B18" s="1" t="s">
        <v>126</v>
      </c>
      <c r="C18" s="1" t="s">
        <v>82</v>
      </c>
      <c r="D18" s="1" t="s">
        <v>108</v>
      </c>
      <c r="E18" s="1">
        <v>258</v>
      </c>
      <c r="F18" s="1">
        <v>1000</v>
      </c>
      <c r="G18" s="1">
        <v>0.25800000000000001</v>
      </c>
      <c r="H18" s="1">
        <v>0.90129419487949003</v>
      </c>
      <c r="I18" s="1">
        <v>0.85063924066080998</v>
      </c>
      <c r="J18" s="1">
        <v>0.95009956753970204</v>
      </c>
      <c r="K18" s="1">
        <v>0.99333333333333296</v>
      </c>
      <c r="L18" s="1">
        <v>0.97841726618705005</v>
      </c>
      <c r="M18" s="1">
        <v>1</v>
      </c>
      <c r="N18" s="1">
        <v>0.92666666666666697</v>
      </c>
      <c r="O18" s="1">
        <v>0.88194444444444398</v>
      </c>
      <c r="P18" s="1">
        <v>0.96575924890504095</v>
      </c>
      <c r="Q18" s="1">
        <v>0.82486481847051796</v>
      </c>
      <c r="R18" s="1">
        <v>0.74463710843623498</v>
      </c>
      <c r="S18" s="1">
        <v>0.91033882739620098</v>
      </c>
      <c r="T18" s="1">
        <v>0.99750473906147197</v>
      </c>
      <c r="U18" s="1">
        <v>0.99195284854427002</v>
      </c>
      <c r="V18" s="1">
        <v>1</v>
      </c>
      <c r="W18" s="1">
        <v>0.25800000000000001</v>
      </c>
      <c r="X18" s="1">
        <v>0.25800000000000001</v>
      </c>
      <c r="Y18" s="1">
        <v>0.25800000000000001</v>
      </c>
      <c r="Z18" s="1">
        <v>0.86981606844748005</v>
      </c>
      <c r="AA18" s="1">
        <v>0.80454114350651496</v>
      </c>
      <c r="AB18" s="1">
        <v>0.93364911012212903</v>
      </c>
      <c r="AC18" s="1">
        <v>0.90324250548943597</v>
      </c>
      <c r="AD18" s="1">
        <v>0.85300154969592101</v>
      </c>
      <c r="AE18" s="1">
        <v>0.95183547868521001</v>
      </c>
      <c r="AF18" s="1">
        <v>0.99807877983989901</v>
      </c>
      <c r="AG18" s="1">
        <v>0.99358717269490804</v>
      </c>
      <c r="AH18" s="1">
        <v>1</v>
      </c>
      <c r="AI18" s="1">
        <v>300</v>
      </c>
      <c r="AJ18" s="1">
        <v>160</v>
      </c>
      <c r="AK18" s="1">
        <v>140</v>
      </c>
      <c r="AL18" s="1">
        <v>149</v>
      </c>
      <c r="AM18" s="1">
        <v>0</v>
      </c>
      <c r="AN18" s="1">
        <v>1</v>
      </c>
      <c r="AO18" s="1">
        <v>0</v>
      </c>
      <c r="AP18" s="1">
        <v>0</v>
      </c>
      <c r="AQ18" s="1">
        <v>11</v>
      </c>
      <c r="AR18" s="1">
        <v>0</v>
      </c>
      <c r="AS18" s="1">
        <v>139</v>
      </c>
      <c r="AT18" s="1">
        <v>153</v>
      </c>
      <c r="AU18" s="1">
        <v>4</v>
      </c>
      <c r="AV18" s="1">
        <v>4</v>
      </c>
      <c r="AW18" s="1">
        <v>139</v>
      </c>
      <c r="AX18" s="1">
        <v>0.946550265021603</v>
      </c>
      <c r="AY18" s="1">
        <v>0.90652073503474995</v>
      </c>
      <c r="AZ18" s="1">
        <v>0.97993789645411</v>
      </c>
      <c r="BA18" s="1">
        <v>517</v>
      </c>
      <c r="BB18" s="1">
        <v>881.28666666666697</v>
      </c>
      <c r="BC18" s="1">
        <v>150</v>
      </c>
      <c r="BD18" s="1">
        <v>150</v>
      </c>
      <c r="BE18" s="1">
        <v>0.96341683225941999</v>
      </c>
      <c r="BF18" s="1">
        <v>0.99983122885689002</v>
      </c>
      <c r="BG18" s="1">
        <v>0.87257583787396098</v>
      </c>
      <c r="BH18" s="1">
        <v>0.96282538521809402</v>
      </c>
      <c r="BI18" s="1">
        <v>0.96341683225941999</v>
      </c>
      <c r="BJ18" s="1">
        <v>0.87257583787396098</v>
      </c>
      <c r="BK18" s="1">
        <v>1</v>
      </c>
      <c r="BL18" s="1">
        <v>0.96575924890504095</v>
      </c>
      <c r="BM18" s="1">
        <v>2</v>
      </c>
      <c r="BN18" s="8" t="s">
        <v>159</v>
      </c>
      <c r="BO18" s="8" t="s">
        <v>127</v>
      </c>
      <c r="BP18" s="8" t="s">
        <v>82</v>
      </c>
      <c r="BQ18" s="8" t="s">
        <v>108</v>
      </c>
      <c r="BR18" s="8" t="s">
        <v>86</v>
      </c>
      <c r="BS18" s="7">
        <v>0.25800000000000001</v>
      </c>
      <c r="BT18" s="9" t="s">
        <v>138</v>
      </c>
      <c r="BU18" s="9" t="s">
        <v>162</v>
      </c>
      <c r="BV18" s="7">
        <v>0.998</v>
      </c>
      <c r="BW18" s="7">
        <v>0.82499999999999996</v>
      </c>
      <c r="BX18" s="7">
        <v>0.998</v>
      </c>
      <c r="BY18" s="7">
        <v>0.90100000000000002</v>
      </c>
      <c r="BZ18" s="7">
        <v>0.90300000000000002</v>
      </c>
      <c r="CA18" s="7">
        <v>0.87</v>
      </c>
      <c r="CB18" s="7">
        <v>0.94699999999999995</v>
      </c>
    </row>
    <row r="19" spans="1:80" x14ac:dyDescent="0.2">
      <c r="A19" s="1" t="s">
        <v>158</v>
      </c>
      <c r="B19" s="1" t="s">
        <v>126</v>
      </c>
      <c r="C19" s="1" t="s">
        <v>82</v>
      </c>
      <c r="D19" s="1" t="s">
        <v>106</v>
      </c>
      <c r="E19" s="1">
        <v>308</v>
      </c>
      <c r="F19" s="1">
        <v>1000</v>
      </c>
      <c r="G19" s="1">
        <v>0.308</v>
      </c>
      <c r="H19" s="1">
        <v>0.96471403364891695</v>
      </c>
      <c r="I19" s="1">
        <v>0.92954154191379101</v>
      </c>
      <c r="J19" s="1">
        <v>0.99220545167830598</v>
      </c>
      <c r="K19" s="1">
        <v>0.97637806637806601</v>
      </c>
      <c r="L19" s="1">
        <v>0.93364845938375396</v>
      </c>
      <c r="M19" s="1">
        <v>1</v>
      </c>
      <c r="N19" s="1">
        <v>0.97872340425531901</v>
      </c>
      <c r="O19" s="1">
        <v>0.95138888888888895</v>
      </c>
      <c r="P19" s="1">
        <v>1</v>
      </c>
      <c r="Q19" s="1">
        <v>0.95332539335421995</v>
      </c>
      <c r="R19" s="1">
        <v>0.89967324928582204</v>
      </c>
      <c r="S19" s="1">
        <v>1</v>
      </c>
      <c r="T19" s="1">
        <v>0.98937180236489397</v>
      </c>
      <c r="U19" s="1">
        <v>0.97075619769334998</v>
      </c>
      <c r="V19" s="1">
        <v>1</v>
      </c>
      <c r="W19" s="1">
        <v>0.308</v>
      </c>
      <c r="X19" s="1">
        <v>0.308</v>
      </c>
      <c r="Y19" s="1">
        <v>0.308</v>
      </c>
      <c r="Z19" s="1">
        <v>0.94887906394508104</v>
      </c>
      <c r="AA19" s="1">
        <v>0.89807040545384498</v>
      </c>
      <c r="AB19" s="1">
        <v>0.98876015193491895</v>
      </c>
      <c r="AC19" s="1">
        <v>0.97123901056495099</v>
      </c>
      <c r="AD19" s="1">
        <v>0.94133718602914396</v>
      </c>
      <c r="AE19" s="1">
        <v>0.99441807728576304</v>
      </c>
      <c r="AF19" s="1">
        <v>0.98983873776436604</v>
      </c>
      <c r="AG19" s="1">
        <v>0.970666869170138</v>
      </c>
      <c r="AH19" s="1">
        <v>1</v>
      </c>
      <c r="AI19" s="1">
        <v>300</v>
      </c>
      <c r="AJ19" s="1">
        <v>160</v>
      </c>
      <c r="AK19" s="1">
        <v>140</v>
      </c>
      <c r="AL19" s="1">
        <v>149</v>
      </c>
      <c r="AM19" s="1">
        <v>8</v>
      </c>
      <c r="AN19" s="1">
        <v>1</v>
      </c>
      <c r="AO19" s="1">
        <v>1</v>
      </c>
      <c r="AP19" s="1">
        <v>0</v>
      </c>
      <c r="AQ19" s="1">
        <v>3</v>
      </c>
      <c r="AR19" s="1">
        <v>0</v>
      </c>
      <c r="AS19" s="1">
        <v>138</v>
      </c>
      <c r="AT19" s="1">
        <v>153</v>
      </c>
      <c r="AU19" s="1">
        <v>4</v>
      </c>
      <c r="AV19" s="1">
        <v>4</v>
      </c>
      <c r="AW19" s="1">
        <v>139</v>
      </c>
      <c r="AX19" s="1">
        <v>0.946550265021603</v>
      </c>
      <c r="AY19" s="1">
        <v>0.90634616242251298</v>
      </c>
      <c r="AZ19" s="1">
        <v>0.97995188452285498</v>
      </c>
      <c r="BA19" s="1">
        <v>517</v>
      </c>
      <c r="BB19" s="1">
        <v>881.28666666666697</v>
      </c>
      <c r="BC19" s="1">
        <v>159</v>
      </c>
      <c r="BD19" s="1">
        <v>141</v>
      </c>
      <c r="BE19" s="1">
        <v>0.93684239379312695</v>
      </c>
      <c r="BF19" s="1">
        <v>0.99310389550372002</v>
      </c>
      <c r="BG19" s="1">
        <v>0.93908113846032304</v>
      </c>
      <c r="BH19" s="1">
        <v>0.99559057680495</v>
      </c>
      <c r="BI19" s="1">
        <v>0.93364845938375396</v>
      </c>
      <c r="BJ19" s="1">
        <v>0.93908113846032304</v>
      </c>
      <c r="BK19" s="1">
        <v>1</v>
      </c>
      <c r="BL19" s="1">
        <v>1</v>
      </c>
      <c r="BM19" s="1">
        <v>2</v>
      </c>
      <c r="BN19" s="8" t="s">
        <v>159</v>
      </c>
      <c r="BO19" s="8" t="s">
        <v>127</v>
      </c>
      <c r="BP19" s="8" t="s">
        <v>82</v>
      </c>
      <c r="BQ19" s="8" t="s">
        <v>106</v>
      </c>
      <c r="BR19" s="8" t="s">
        <v>86</v>
      </c>
      <c r="BS19" s="7">
        <v>0.308</v>
      </c>
      <c r="BT19" s="9" t="s">
        <v>163</v>
      </c>
      <c r="BU19" s="9" t="s">
        <v>161</v>
      </c>
      <c r="BV19" s="7">
        <v>0.99</v>
      </c>
      <c r="BW19" s="7">
        <v>0.95299999999999996</v>
      </c>
      <c r="BX19" s="7">
        <v>0.98899999999999999</v>
      </c>
      <c r="BY19" s="7">
        <v>0.96499999999999997</v>
      </c>
      <c r="BZ19" s="7">
        <v>0.97099999999999997</v>
      </c>
      <c r="CA19" s="7">
        <v>0.94899999999999995</v>
      </c>
      <c r="CB19" s="7">
        <v>0.94699999999999995</v>
      </c>
    </row>
    <row r="20" spans="1:80" x14ac:dyDescent="0.2">
      <c r="A20" s="1" t="s">
        <v>158</v>
      </c>
      <c r="B20" s="1" t="s">
        <v>126</v>
      </c>
      <c r="C20" s="1" t="s">
        <v>206</v>
      </c>
      <c r="D20" s="1" t="s">
        <v>108</v>
      </c>
      <c r="E20" s="1">
        <v>289</v>
      </c>
      <c r="F20" s="1">
        <v>783</v>
      </c>
      <c r="G20" s="1">
        <v>0.369093231162197</v>
      </c>
      <c r="H20" s="1">
        <v>0.97500084342633497</v>
      </c>
      <c r="I20" s="1">
        <v>0.945520714627063</v>
      </c>
      <c r="J20" s="1">
        <v>1</v>
      </c>
      <c r="K20" s="1">
        <v>1</v>
      </c>
      <c r="L20" s="1">
        <v>1</v>
      </c>
      <c r="M20" s="1">
        <v>1</v>
      </c>
      <c r="N20" s="1">
        <v>0.97</v>
      </c>
      <c r="O20" s="1">
        <v>0.93258426966292096</v>
      </c>
      <c r="P20" s="1">
        <v>1</v>
      </c>
      <c r="Q20" s="1">
        <v>0.95122111776709894</v>
      </c>
      <c r="R20" s="1">
        <v>0.89667073383301399</v>
      </c>
      <c r="S20" s="1">
        <v>1</v>
      </c>
      <c r="T20" s="1">
        <v>1</v>
      </c>
      <c r="U20" s="1">
        <v>1</v>
      </c>
      <c r="V20" s="1">
        <v>1</v>
      </c>
      <c r="W20" s="1">
        <v>0.369093231162197</v>
      </c>
      <c r="X20" s="1">
        <v>0.369093231162197</v>
      </c>
      <c r="Y20" s="1">
        <v>0.369093231162197</v>
      </c>
      <c r="Z20" s="1">
        <v>0.96056466947003905</v>
      </c>
      <c r="AA20" s="1">
        <v>0.91445121326387702</v>
      </c>
      <c r="AB20" s="1">
        <v>1</v>
      </c>
      <c r="AC20" s="1">
        <v>0.97500084342633497</v>
      </c>
      <c r="AD20" s="1">
        <v>0.945520714627063</v>
      </c>
      <c r="AE20" s="1">
        <v>1</v>
      </c>
      <c r="AF20" s="1">
        <v>1</v>
      </c>
      <c r="AG20" s="1">
        <v>1</v>
      </c>
      <c r="AH20" s="1">
        <v>1</v>
      </c>
      <c r="AI20" s="1">
        <v>200</v>
      </c>
      <c r="AJ20" s="1">
        <v>103</v>
      </c>
      <c r="AK20" s="1">
        <v>97</v>
      </c>
      <c r="AL20" s="1">
        <v>100</v>
      </c>
      <c r="AM20" s="1">
        <v>0</v>
      </c>
      <c r="AN20" s="1">
        <v>0</v>
      </c>
      <c r="AO20" s="1">
        <v>0</v>
      </c>
      <c r="AP20" s="1">
        <v>0</v>
      </c>
      <c r="AQ20" s="1">
        <v>3</v>
      </c>
      <c r="AR20" s="1">
        <v>0</v>
      </c>
      <c r="AS20" s="1">
        <v>97</v>
      </c>
      <c r="AT20" s="1">
        <v>101</v>
      </c>
      <c r="AU20" s="1">
        <v>2</v>
      </c>
      <c r="AV20" s="1">
        <v>3</v>
      </c>
      <c r="AW20" s="1">
        <v>94</v>
      </c>
      <c r="AX20" s="1">
        <v>0.94993992791349602</v>
      </c>
      <c r="AY20" s="1">
        <v>0.89998999899989995</v>
      </c>
      <c r="AZ20" s="1">
        <v>0.98996990972918797</v>
      </c>
      <c r="BA20" s="1">
        <v>487.5</v>
      </c>
      <c r="BB20" s="1">
        <v>673.80499999999995</v>
      </c>
      <c r="BC20" s="1">
        <v>100</v>
      </c>
      <c r="BD20" s="1">
        <v>100</v>
      </c>
      <c r="BE20" s="1">
        <v>0.96378330735482398</v>
      </c>
      <c r="BF20" s="1">
        <v>1</v>
      </c>
      <c r="BG20" s="1">
        <v>0.91482394702572001</v>
      </c>
      <c r="BH20" s="1">
        <v>0.99377002846169404</v>
      </c>
      <c r="BI20" s="1">
        <v>0.96378330735482398</v>
      </c>
      <c r="BJ20" s="1">
        <v>0.91482394702572001</v>
      </c>
      <c r="BK20" s="1">
        <v>1</v>
      </c>
      <c r="BL20" s="1">
        <v>1</v>
      </c>
      <c r="BM20" s="1">
        <v>2</v>
      </c>
      <c r="BN20" s="8" t="s">
        <v>159</v>
      </c>
      <c r="BO20" s="8" t="s">
        <v>127</v>
      </c>
      <c r="BP20" s="8" t="s">
        <v>206</v>
      </c>
      <c r="BQ20" s="8" t="s">
        <v>108</v>
      </c>
      <c r="BR20" s="8" t="s">
        <v>86</v>
      </c>
      <c r="BS20" s="7">
        <v>0.36899999999999999</v>
      </c>
      <c r="BT20" s="9" t="s">
        <v>213</v>
      </c>
      <c r="BU20" s="9" t="s">
        <v>229</v>
      </c>
      <c r="BV20" s="7">
        <v>1</v>
      </c>
      <c r="BW20" s="7">
        <v>0.95099999999999996</v>
      </c>
      <c r="BX20" s="7">
        <v>1</v>
      </c>
      <c r="BY20" s="7">
        <v>0.97499999999999998</v>
      </c>
      <c r="BZ20" s="7">
        <v>0.97499999999999998</v>
      </c>
      <c r="CA20" s="7">
        <v>0.96099999999999997</v>
      </c>
      <c r="CB20" s="7">
        <v>0.95</v>
      </c>
    </row>
    <row r="21" spans="1:80" x14ac:dyDescent="0.2">
      <c r="A21" s="1" t="s">
        <v>158</v>
      </c>
      <c r="B21" s="1" t="s">
        <v>126</v>
      </c>
      <c r="C21" s="1" t="s">
        <v>206</v>
      </c>
      <c r="D21" s="1" t="s">
        <v>106</v>
      </c>
      <c r="E21" s="1">
        <v>324</v>
      </c>
      <c r="F21" s="1">
        <v>783</v>
      </c>
      <c r="G21" s="1">
        <v>0.41379310344827602</v>
      </c>
      <c r="H21" s="1">
        <v>0.97441972661484899</v>
      </c>
      <c r="I21" s="1">
        <v>0.93193710000266305</v>
      </c>
      <c r="J21" s="1">
        <v>1</v>
      </c>
      <c r="K21" s="1">
        <v>0.96399176954732502</v>
      </c>
      <c r="L21" s="1">
        <v>0.89197530864197505</v>
      </c>
      <c r="M21" s="1">
        <v>1</v>
      </c>
      <c r="N21" s="1">
        <v>0.98969072164948502</v>
      </c>
      <c r="O21" s="1">
        <v>0.96666666666666701</v>
      </c>
      <c r="P21" s="1">
        <v>1</v>
      </c>
      <c r="Q21" s="1">
        <v>0.98507575921791302</v>
      </c>
      <c r="R21" s="1">
        <v>0.95271282849323602</v>
      </c>
      <c r="S21" s="1">
        <v>1</v>
      </c>
      <c r="T21" s="1">
        <v>0.97496072632331998</v>
      </c>
      <c r="U21" s="1">
        <v>0.92836652652477403</v>
      </c>
      <c r="V21" s="1">
        <v>1</v>
      </c>
      <c r="W21" s="1">
        <v>0.41379310344827602</v>
      </c>
      <c r="X21" s="1">
        <v>0.41379310344827602</v>
      </c>
      <c r="Y21" s="1">
        <v>0.41379310344827602</v>
      </c>
      <c r="Z21" s="1">
        <v>0.95685421416785998</v>
      </c>
      <c r="AA21" s="1">
        <v>0.88694354139612797</v>
      </c>
      <c r="AB21" s="1">
        <v>1</v>
      </c>
      <c r="AC21" s="1">
        <v>0.97985235221754496</v>
      </c>
      <c r="AD21" s="1">
        <v>0.94676564472612501</v>
      </c>
      <c r="AE21" s="1">
        <v>1</v>
      </c>
      <c r="AF21" s="1">
        <v>0.97468404771876804</v>
      </c>
      <c r="AG21" s="1">
        <v>0.92124507781736398</v>
      </c>
      <c r="AH21" s="1">
        <v>1</v>
      </c>
      <c r="AI21" s="1">
        <v>200</v>
      </c>
      <c r="AJ21" s="1">
        <v>103</v>
      </c>
      <c r="AK21" s="1">
        <v>97</v>
      </c>
      <c r="AL21" s="1">
        <v>100</v>
      </c>
      <c r="AM21" s="1">
        <v>2</v>
      </c>
      <c r="AN21" s="1">
        <v>0</v>
      </c>
      <c r="AO21" s="1">
        <v>1</v>
      </c>
      <c r="AP21" s="1">
        <v>0</v>
      </c>
      <c r="AQ21" s="1">
        <v>1</v>
      </c>
      <c r="AR21" s="1">
        <v>0</v>
      </c>
      <c r="AS21" s="1">
        <v>96</v>
      </c>
      <c r="AT21" s="1">
        <v>101</v>
      </c>
      <c r="AU21" s="1">
        <v>2</v>
      </c>
      <c r="AV21" s="1">
        <v>3</v>
      </c>
      <c r="AW21" s="1">
        <v>94</v>
      </c>
      <c r="AX21" s="1">
        <v>0.94993992791349602</v>
      </c>
      <c r="AY21" s="1">
        <v>0.89995973376844496</v>
      </c>
      <c r="AZ21" s="1">
        <v>0.98996990972918797</v>
      </c>
      <c r="BA21" s="1">
        <v>487.5</v>
      </c>
      <c r="BB21" s="1">
        <v>673.80499999999995</v>
      </c>
      <c r="BC21" s="1">
        <v>103</v>
      </c>
      <c r="BD21" s="1">
        <v>97</v>
      </c>
      <c r="BE21" s="1">
        <v>0.903545521623496</v>
      </c>
      <c r="BF21" s="1">
        <v>0.98931906721016905</v>
      </c>
      <c r="BG21" s="1">
        <v>0.94389584589490805</v>
      </c>
      <c r="BH21" s="1">
        <v>0.99973902572997597</v>
      </c>
      <c r="BI21" s="1">
        <v>0.89197530864197505</v>
      </c>
      <c r="BJ21" s="1">
        <v>0.94389584589490805</v>
      </c>
      <c r="BK21" s="1">
        <v>1</v>
      </c>
      <c r="BL21" s="1">
        <v>1</v>
      </c>
      <c r="BM21" s="1">
        <v>2</v>
      </c>
      <c r="BN21" s="8" t="s">
        <v>159</v>
      </c>
      <c r="BO21" s="8" t="s">
        <v>127</v>
      </c>
      <c r="BP21" s="8" t="s">
        <v>206</v>
      </c>
      <c r="BQ21" s="8" t="s">
        <v>106</v>
      </c>
      <c r="BR21" s="8" t="s">
        <v>86</v>
      </c>
      <c r="BS21" s="7">
        <v>0.41399999999999998</v>
      </c>
      <c r="BT21" s="9" t="s">
        <v>230</v>
      </c>
      <c r="BU21" s="9" t="s">
        <v>211</v>
      </c>
      <c r="BV21" s="7">
        <v>0.97499999999999998</v>
      </c>
      <c r="BW21" s="7">
        <v>0.98499999999999999</v>
      </c>
      <c r="BX21" s="7">
        <v>0.97499999999999998</v>
      </c>
      <c r="BY21" s="7">
        <v>0.97399999999999998</v>
      </c>
      <c r="BZ21" s="7">
        <v>0.98</v>
      </c>
      <c r="CA21" s="7">
        <v>0.95699999999999996</v>
      </c>
      <c r="CB21" s="7">
        <v>0.95</v>
      </c>
    </row>
    <row r="22" spans="1:80" x14ac:dyDescent="0.2">
      <c r="A22" s="1" t="s">
        <v>166</v>
      </c>
      <c r="B22" s="1" t="s">
        <v>81</v>
      </c>
      <c r="C22" s="1" t="s">
        <v>82</v>
      </c>
      <c r="D22" s="1" t="s">
        <v>108</v>
      </c>
      <c r="E22" s="1">
        <v>240</v>
      </c>
      <c r="F22" s="1">
        <v>963</v>
      </c>
      <c r="G22" s="1">
        <v>0.249221183800623</v>
      </c>
      <c r="H22" s="1">
        <v>0.97020191681330803</v>
      </c>
      <c r="I22" s="1">
        <v>0.93826950285828503</v>
      </c>
      <c r="J22" s="1">
        <v>0.99375097049689398</v>
      </c>
      <c r="K22" s="1">
        <v>0.97986577181208101</v>
      </c>
      <c r="L22" s="1">
        <v>0.95488600533592005</v>
      </c>
      <c r="M22" s="1">
        <v>1</v>
      </c>
      <c r="N22" s="1">
        <v>0.98670355002305199</v>
      </c>
      <c r="O22" s="1">
        <v>0.96561262936996195</v>
      </c>
      <c r="P22" s="1">
        <v>1</v>
      </c>
      <c r="Q22" s="1">
        <v>0.96072681835280704</v>
      </c>
      <c r="R22" s="1">
        <v>0.904416853514736</v>
      </c>
      <c r="S22" s="1">
        <v>1</v>
      </c>
      <c r="T22" s="1">
        <v>0.99327194690918197</v>
      </c>
      <c r="U22" s="1">
        <v>0.98509717692044896</v>
      </c>
      <c r="V22" s="1">
        <v>1</v>
      </c>
      <c r="W22" s="1">
        <v>0.249221183800623</v>
      </c>
      <c r="X22" s="1">
        <v>0.249221183800623</v>
      </c>
      <c r="Y22" s="1">
        <v>0.249221183800623</v>
      </c>
      <c r="Z22" s="1">
        <v>0.96026347403763901</v>
      </c>
      <c r="AA22" s="1">
        <v>0.91817745135991502</v>
      </c>
      <c r="AB22" s="1">
        <v>0.99172804537509895</v>
      </c>
      <c r="AC22" s="1">
        <v>0.97683359452477103</v>
      </c>
      <c r="AD22" s="1">
        <v>0.946954611734937</v>
      </c>
      <c r="AE22" s="1">
        <v>0.99791693726711805</v>
      </c>
      <c r="AF22" s="1">
        <v>0.99348964601817402</v>
      </c>
      <c r="AG22" s="1">
        <v>0.98513563730955001</v>
      </c>
      <c r="AH22" s="1">
        <v>1</v>
      </c>
      <c r="AI22" s="1">
        <v>300</v>
      </c>
      <c r="AJ22" s="1">
        <v>148</v>
      </c>
      <c r="AK22" s="1">
        <v>152</v>
      </c>
      <c r="AL22" s="1">
        <v>146</v>
      </c>
      <c r="AM22" s="1">
        <v>0</v>
      </c>
      <c r="AN22" s="1">
        <v>3</v>
      </c>
      <c r="AO22" s="1">
        <v>0</v>
      </c>
      <c r="AP22" s="1">
        <v>0</v>
      </c>
      <c r="AQ22" s="1">
        <v>2</v>
      </c>
      <c r="AR22" s="1">
        <v>1</v>
      </c>
      <c r="AS22" s="1">
        <v>148</v>
      </c>
      <c r="AT22" s="1">
        <v>139</v>
      </c>
      <c r="AU22" s="1">
        <v>12</v>
      </c>
      <c r="AV22" s="1">
        <v>0</v>
      </c>
      <c r="AW22" s="1">
        <v>149</v>
      </c>
      <c r="AX22" s="1">
        <v>0.92003909199946698</v>
      </c>
      <c r="AY22" s="1">
        <v>0.87333333333333296</v>
      </c>
      <c r="AZ22" s="1">
        <v>0.95997153531400103</v>
      </c>
      <c r="BA22" s="1">
        <v>744.5</v>
      </c>
      <c r="BB22" s="1">
        <v>912.58</v>
      </c>
      <c r="BC22" s="1">
        <v>149</v>
      </c>
      <c r="BD22" s="1">
        <v>151</v>
      </c>
      <c r="BE22" s="1">
        <v>0.94228844953396296</v>
      </c>
      <c r="BF22" s="1">
        <v>0.99582843474977401</v>
      </c>
      <c r="BG22" s="1">
        <v>0.952975020703418</v>
      </c>
      <c r="BH22" s="1">
        <v>0.99839192077140704</v>
      </c>
      <c r="BI22" s="1">
        <v>0.94228844953396296</v>
      </c>
      <c r="BJ22" s="1">
        <v>0.952975020703418</v>
      </c>
      <c r="BK22" s="1">
        <v>1</v>
      </c>
      <c r="BL22" s="1">
        <v>1</v>
      </c>
      <c r="BM22" s="1">
        <v>3</v>
      </c>
      <c r="BN22" s="4" t="s">
        <v>167</v>
      </c>
      <c r="BO22" s="4" t="s">
        <v>85</v>
      </c>
      <c r="BP22" s="4" t="s">
        <v>82</v>
      </c>
      <c r="BQ22" s="4" t="s">
        <v>108</v>
      </c>
      <c r="BR22" s="4" t="s">
        <v>86</v>
      </c>
      <c r="BS22" s="5">
        <v>0.249</v>
      </c>
      <c r="BT22" s="6" t="s">
        <v>130</v>
      </c>
      <c r="BU22" s="6" t="s">
        <v>91</v>
      </c>
      <c r="BV22" s="7">
        <v>0.99299999999999999</v>
      </c>
      <c r="BW22" s="7">
        <v>0.96099999999999997</v>
      </c>
      <c r="BX22" s="7">
        <v>0.99299999999999999</v>
      </c>
      <c r="BY22" s="7">
        <v>0.97</v>
      </c>
      <c r="BZ22" s="7">
        <v>0.97699999999999998</v>
      </c>
      <c r="CA22" s="7">
        <v>0.96</v>
      </c>
      <c r="CB22" s="7">
        <v>0.92</v>
      </c>
    </row>
    <row r="23" spans="1:80" x14ac:dyDescent="0.2">
      <c r="A23" s="1" t="s">
        <v>166</v>
      </c>
      <c r="B23" s="1" t="s">
        <v>81</v>
      </c>
      <c r="C23" s="1" t="s">
        <v>82</v>
      </c>
      <c r="D23" s="1" t="s">
        <v>119</v>
      </c>
      <c r="E23" s="1" t="s">
        <v>93</v>
      </c>
      <c r="F23" s="1" t="s">
        <v>93</v>
      </c>
      <c r="G23" s="1">
        <v>0.242779449812556</v>
      </c>
      <c r="H23" s="1">
        <v>0.97893793169380805</v>
      </c>
      <c r="I23" s="1">
        <v>0.94730042473875797</v>
      </c>
      <c r="J23" s="1">
        <v>1</v>
      </c>
      <c r="K23" s="1">
        <v>1</v>
      </c>
      <c r="L23" s="1">
        <v>1</v>
      </c>
      <c r="M23" s="1">
        <v>1</v>
      </c>
      <c r="N23" s="1">
        <v>0.98620361240566501</v>
      </c>
      <c r="O23" s="1">
        <v>0.96483091211698002</v>
      </c>
      <c r="P23" s="1">
        <v>1</v>
      </c>
      <c r="Q23" s="1">
        <v>0.95874478357396697</v>
      </c>
      <c r="R23" s="1">
        <v>0.89987727463230005</v>
      </c>
      <c r="S23" s="1">
        <v>1</v>
      </c>
      <c r="T23" s="1">
        <v>1</v>
      </c>
      <c r="U23" s="1">
        <v>1</v>
      </c>
      <c r="V23" s="1">
        <v>1</v>
      </c>
      <c r="W23" s="1">
        <v>0.242779449812556</v>
      </c>
      <c r="X23" s="1">
        <v>0.233816425120773</v>
      </c>
      <c r="Y23" s="1">
        <v>0.24930359821325601</v>
      </c>
      <c r="Z23" s="1">
        <v>0.97237727705645904</v>
      </c>
      <c r="AA23" s="1">
        <v>0.93165367625524698</v>
      </c>
      <c r="AB23" s="1">
        <v>1</v>
      </c>
      <c r="AC23" s="1">
        <v>0.97893793169380805</v>
      </c>
      <c r="AD23" s="1">
        <v>0.94730042473875797</v>
      </c>
      <c r="AE23" s="1">
        <v>1</v>
      </c>
      <c r="AF23" s="1">
        <v>1</v>
      </c>
      <c r="AG23" s="1">
        <v>1</v>
      </c>
      <c r="AH23" s="1">
        <v>1</v>
      </c>
      <c r="AI23" s="1">
        <v>239</v>
      </c>
      <c r="AJ23" s="1">
        <v>117</v>
      </c>
      <c r="AK23" s="1">
        <v>122</v>
      </c>
      <c r="AL23" s="1">
        <v>114</v>
      </c>
      <c r="AM23" s="1">
        <v>0</v>
      </c>
      <c r="AN23" s="1">
        <v>0</v>
      </c>
      <c r="AO23" s="1">
        <v>0</v>
      </c>
      <c r="AP23" s="1">
        <v>2</v>
      </c>
      <c r="AQ23" s="1">
        <v>1</v>
      </c>
      <c r="AR23" s="1">
        <v>2</v>
      </c>
      <c r="AS23" s="1">
        <v>120</v>
      </c>
      <c r="AT23" s="1">
        <v>114</v>
      </c>
      <c r="AU23" s="1">
        <v>4</v>
      </c>
      <c r="AV23" s="1">
        <v>0</v>
      </c>
      <c r="AW23" s="1">
        <v>121</v>
      </c>
      <c r="AX23" s="1">
        <v>0.96650784753363195</v>
      </c>
      <c r="AY23" s="1">
        <v>0.93260961511349205</v>
      </c>
      <c r="AZ23" s="1">
        <v>0.991631359641444</v>
      </c>
      <c r="BA23" s="1">
        <v>4577</v>
      </c>
      <c r="BB23" s="1">
        <v>4849.5690376569</v>
      </c>
      <c r="BC23" s="1">
        <v>114</v>
      </c>
      <c r="BD23" s="1">
        <v>125</v>
      </c>
      <c r="BE23" s="1">
        <v>0.96815934591652597</v>
      </c>
      <c r="BF23" s="1">
        <v>1</v>
      </c>
      <c r="BG23" s="1">
        <v>0.94339788038024497</v>
      </c>
      <c r="BH23" s="1">
        <v>0.99805641819763102</v>
      </c>
      <c r="BI23" s="1">
        <v>0.96815934591652597</v>
      </c>
      <c r="BJ23" s="1">
        <v>0.94339788038024497</v>
      </c>
      <c r="BK23" s="1">
        <v>1</v>
      </c>
      <c r="BL23" s="1">
        <v>1</v>
      </c>
      <c r="BM23" s="1">
        <v>3</v>
      </c>
      <c r="BN23" s="4" t="s">
        <v>167</v>
      </c>
      <c r="BO23" s="4" t="s">
        <v>85</v>
      </c>
      <c r="BP23" s="4" t="s">
        <v>82</v>
      </c>
      <c r="BQ23" s="4" t="s">
        <v>108</v>
      </c>
      <c r="BR23" s="4" t="s">
        <v>100</v>
      </c>
      <c r="BS23" s="5">
        <v>0.24299999999999999</v>
      </c>
      <c r="BT23" s="6" t="s">
        <v>203</v>
      </c>
      <c r="BU23" s="6" t="s">
        <v>194</v>
      </c>
      <c r="BV23" s="7">
        <v>1</v>
      </c>
      <c r="BW23" s="7">
        <v>0.95899999999999996</v>
      </c>
      <c r="BX23" s="7">
        <v>1</v>
      </c>
      <c r="BY23" s="7">
        <v>0.97899999999999998</v>
      </c>
      <c r="BZ23" s="7">
        <v>0.97899999999999998</v>
      </c>
      <c r="CA23" s="7">
        <v>0.97199999999999998</v>
      </c>
      <c r="CB23" s="7">
        <v>0.96699999999999997</v>
      </c>
    </row>
    <row r="24" spans="1:80" x14ac:dyDescent="0.2">
      <c r="A24" s="1" t="s">
        <v>166</v>
      </c>
      <c r="B24" s="1" t="s">
        <v>81</v>
      </c>
      <c r="C24" s="1" t="s">
        <v>82</v>
      </c>
      <c r="D24" s="1" t="s">
        <v>106</v>
      </c>
      <c r="E24" s="1">
        <v>254</v>
      </c>
      <c r="F24" s="1">
        <v>963</v>
      </c>
      <c r="G24" s="1">
        <v>0.26375908618899302</v>
      </c>
      <c r="H24" s="1">
        <v>0.96357451921125503</v>
      </c>
      <c r="I24" s="1">
        <v>0.93273707706586695</v>
      </c>
      <c r="J24" s="1">
        <v>0.99319727891156495</v>
      </c>
      <c r="K24" s="1">
        <v>0.94724409448818903</v>
      </c>
      <c r="L24" s="1">
        <v>0.90275339786348396</v>
      </c>
      <c r="M24" s="1">
        <v>0.99333333333333296</v>
      </c>
      <c r="N24" s="1">
        <v>0.99324324324324298</v>
      </c>
      <c r="O24" s="1">
        <v>0.97841726618705005</v>
      </c>
      <c r="P24" s="1">
        <v>1</v>
      </c>
      <c r="Q24" s="1">
        <v>0.98047789238334904</v>
      </c>
      <c r="R24" s="1">
        <v>0.93998799310563397</v>
      </c>
      <c r="S24" s="1">
        <v>1</v>
      </c>
      <c r="T24" s="1">
        <v>0.98132689052051603</v>
      </c>
      <c r="U24" s="1">
        <v>0.96616564628689805</v>
      </c>
      <c r="V24" s="1">
        <v>0.99759223308892897</v>
      </c>
      <c r="W24" s="1">
        <v>0.26375908618899302</v>
      </c>
      <c r="X24" s="1">
        <v>0.26375908618899302</v>
      </c>
      <c r="Y24" s="1">
        <v>0.26375908618899302</v>
      </c>
      <c r="Z24" s="1">
        <v>0.95108633661230502</v>
      </c>
      <c r="AA24" s="1">
        <v>0.90990386497629205</v>
      </c>
      <c r="AB24" s="1">
        <v>0.99082475110644996</v>
      </c>
      <c r="AC24" s="1">
        <v>0.98064512299172002</v>
      </c>
      <c r="AD24" s="1">
        <v>0.957928249775858</v>
      </c>
      <c r="AE24" s="1">
        <v>0.99755223190193498</v>
      </c>
      <c r="AF24" s="1">
        <v>0.98081241065562896</v>
      </c>
      <c r="AG24" s="1">
        <v>0.96362450376255504</v>
      </c>
      <c r="AH24" s="1">
        <v>0.997639330610818</v>
      </c>
      <c r="AI24" s="1">
        <v>300</v>
      </c>
      <c r="AJ24" s="1">
        <v>148</v>
      </c>
      <c r="AK24" s="1">
        <v>152</v>
      </c>
      <c r="AL24" s="1">
        <v>146</v>
      </c>
      <c r="AM24" s="1">
        <v>1</v>
      </c>
      <c r="AN24" s="1">
        <v>4</v>
      </c>
      <c r="AO24" s="1">
        <v>1</v>
      </c>
      <c r="AP24" s="1">
        <v>0</v>
      </c>
      <c r="AQ24" s="1">
        <v>1</v>
      </c>
      <c r="AR24" s="1">
        <v>0</v>
      </c>
      <c r="AS24" s="1">
        <v>147</v>
      </c>
      <c r="AT24" s="1">
        <v>139</v>
      </c>
      <c r="AU24" s="1">
        <v>12</v>
      </c>
      <c r="AV24" s="1">
        <v>0</v>
      </c>
      <c r="AW24" s="1">
        <v>149</v>
      </c>
      <c r="AX24" s="1">
        <v>0.92003909199946698</v>
      </c>
      <c r="AY24" s="1">
        <v>0.87343458566480103</v>
      </c>
      <c r="AZ24" s="1">
        <v>0.95998755168274597</v>
      </c>
      <c r="BA24" s="1">
        <v>744.5</v>
      </c>
      <c r="BB24" s="1">
        <v>912.58</v>
      </c>
      <c r="BC24" s="1">
        <v>152</v>
      </c>
      <c r="BD24" s="1">
        <v>148</v>
      </c>
      <c r="BE24" s="1">
        <v>0.89893026289874101</v>
      </c>
      <c r="BF24" s="1">
        <v>0.97700651228527002</v>
      </c>
      <c r="BG24" s="1">
        <v>0.96293008255702695</v>
      </c>
      <c r="BH24" s="1">
        <v>0.99982894836083602</v>
      </c>
      <c r="BI24" s="1">
        <v>0.89893026289874101</v>
      </c>
      <c r="BJ24" s="1">
        <v>0.96293008255702695</v>
      </c>
      <c r="BK24" s="1">
        <v>0.99333333333333296</v>
      </c>
      <c r="BL24" s="1">
        <v>1</v>
      </c>
      <c r="BM24" s="1">
        <v>3</v>
      </c>
      <c r="BN24" s="4" t="s">
        <v>167</v>
      </c>
      <c r="BO24" s="4" t="s">
        <v>85</v>
      </c>
      <c r="BP24" s="4" t="s">
        <v>82</v>
      </c>
      <c r="BQ24" s="4" t="s">
        <v>106</v>
      </c>
      <c r="BR24" s="4" t="s">
        <v>86</v>
      </c>
      <c r="BS24" s="5">
        <v>0.26400000000000001</v>
      </c>
      <c r="BT24" s="6" t="s">
        <v>197</v>
      </c>
      <c r="BU24" s="6" t="s">
        <v>138</v>
      </c>
      <c r="BV24" s="7">
        <v>0.98099999999999998</v>
      </c>
      <c r="BW24" s="7">
        <v>0.98</v>
      </c>
      <c r="BX24" s="7">
        <v>0.98099999999999998</v>
      </c>
      <c r="BY24" s="7">
        <v>0.96399999999999997</v>
      </c>
      <c r="BZ24" s="7">
        <v>0.98099999999999998</v>
      </c>
      <c r="CA24" s="7">
        <v>0.95099999999999996</v>
      </c>
      <c r="CB24" s="7">
        <v>0.92</v>
      </c>
    </row>
    <row r="25" spans="1:80" x14ac:dyDescent="0.2">
      <c r="A25" s="1" t="s">
        <v>166</v>
      </c>
      <c r="B25" s="1" t="s">
        <v>81</v>
      </c>
      <c r="C25" s="1" t="s">
        <v>82</v>
      </c>
      <c r="D25" s="1" t="s">
        <v>117</v>
      </c>
      <c r="E25" s="1" t="s">
        <v>93</v>
      </c>
      <c r="F25" s="1" t="s">
        <v>93</v>
      </c>
      <c r="G25" s="1">
        <v>0.25748564661054002</v>
      </c>
      <c r="H25" s="1">
        <v>0.96742875110507598</v>
      </c>
      <c r="I25" s="1">
        <v>0.929213966859047</v>
      </c>
      <c r="J25" s="1">
        <v>0.99598393574297195</v>
      </c>
      <c r="K25" s="1">
        <v>0.95942722111969603</v>
      </c>
      <c r="L25" s="1">
        <v>0.90133255768836695</v>
      </c>
      <c r="M25" s="1">
        <v>1</v>
      </c>
      <c r="N25" s="1">
        <v>0.99166666666666703</v>
      </c>
      <c r="O25" s="1">
        <v>0.97321428571428603</v>
      </c>
      <c r="P25" s="1">
        <v>1</v>
      </c>
      <c r="Q25" s="1">
        <v>0.97556486749631699</v>
      </c>
      <c r="R25" s="1">
        <v>0.92504653342485998</v>
      </c>
      <c r="S25" s="1">
        <v>1</v>
      </c>
      <c r="T25" s="1">
        <v>0.98601060935005003</v>
      </c>
      <c r="U25" s="1">
        <v>0.96439574700793096</v>
      </c>
      <c r="V25" s="1">
        <v>1</v>
      </c>
      <c r="W25" s="1">
        <v>0.25748564661054002</v>
      </c>
      <c r="X25" s="1">
        <v>0.25129802699896198</v>
      </c>
      <c r="Y25" s="1">
        <v>0.27190450332009097</v>
      </c>
      <c r="Z25" s="1">
        <v>0.95632032221104502</v>
      </c>
      <c r="AA25" s="1">
        <v>0.90432385339600097</v>
      </c>
      <c r="AB25" s="1">
        <v>0.994657456123613</v>
      </c>
      <c r="AC25" s="1">
        <v>0.98070297537989504</v>
      </c>
      <c r="AD25" s="1">
        <v>0.95209243297159296</v>
      </c>
      <c r="AE25" s="1">
        <v>0.99864842222842798</v>
      </c>
      <c r="AF25" s="1">
        <v>0.98589549262999499</v>
      </c>
      <c r="AG25" s="1">
        <v>0.96179036120366401</v>
      </c>
      <c r="AH25" s="1">
        <v>1</v>
      </c>
      <c r="AI25" s="1">
        <v>239</v>
      </c>
      <c r="AJ25" s="1">
        <v>117</v>
      </c>
      <c r="AK25" s="1">
        <v>122</v>
      </c>
      <c r="AL25" s="1">
        <v>116</v>
      </c>
      <c r="AM25" s="1">
        <v>0</v>
      </c>
      <c r="AN25" s="1">
        <v>2</v>
      </c>
      <c r="AO25" s="1">
        <v>1</v>
      </c>
      <c r="AP25" s="1">
        <v>0</v>
      </c>
      <c r="AQ25" s="1">
        <v>1</v>
      </c>
      <c r="AR25" s="1">
        <v>0</v>
      </c>
      <c r="AS25" s="1">
        <v>119</v>
      </c>
      <c r="AT25" s="1">
        <v>114</v>
      </c>
      <c r="AU25" s="1">
        <v>4</v>
      </c>
      <c r="AV25" s="1">
        <v>0</v>
      </c>
      <c r="AW25" s="1">
        <v>121</v>
      </c>
      <c r="AX25" s="1">
        <v>0.96650784753363195</v>
      </c>
      <c r="AY25" s="1">
        <v>0.93260961511349205</v>
      </c>
      <c r="AZ25" s="1">
        <v>0.991631359641444</v>
      </c>
      <c r="BA25" s="1">
        <v>4577</v>
      </c>
      <c r="BB25" s="1">
        <v>4849.5690376569</v>
      </c>
      <c r="BC25" s="1">
        <v>119</v>
      </c>
      <c r="BD25" s="1">
        <v>120</v>
      </c>
      <c r="BE25" s="1">
        <v>0.90466907026235299</v>
      </c>
      <c r="BF25" s="1">
        <v>0.986218604809877</v>
      </c>
      <c r="BG25" s="1">
        <v>0.95444448676640703</v>
      </c>
      <c r="BH25" s="1">
        <v>0.999789040521878</v>
      </c>
      <c r="BI25" s="1">
        <v>0.90133255768836695</v>
      </c>
      <c r="BJ25" s="1">
        <v>0.95444448676640703</v>
      </c>
      <c r="BK25" s="1">
        <v>1</v>
      </c>
      <c r="BL25" s="1">
        <v>1</v>
      </c>
      <c r="BM25" s="1">
        <v>3</v>
      </c>
      <c r="BN25" s="4" t="s">
        <v>167</v>
      </c>
      <c r="BO25" s="4" t="s">
        <v>85</v>
      </c>
      <c r="BP25" s="4" t="s">
        <v>82</v>
      </c>
      <c r="BQ25" s="4" t="s">
        <v>106</v>
      </c>
      <c r="BR25" s="4" t="s">
        <v>100</v>
      </c>
      <c r="BS25" s="5">
        <v>0.25700000000000001</v>
      </c>
      <c r="BT25" s="6" t="s">
        <v>202</v>
      </c>
      <c r="BU25" s="6" t="s">
        <v>196</v>
      </c>
      <c r="BV25" s="7">
        <v>0.98599999999999999</v>
      </c>
      <c r="BW25" s="7">
        <v>0.97599999999999998</v>
      </c>
      <c r="BX25" s="7">
        <v>0.98599999999999999</v>
      </c>
      <c r="BY25" s="7">
        <v>0.96699999999999997</v>
      </c>
      <c r="BZ25" s="7">
        <v>0.98099999999999998</v>
      </c>
      <c r="CA25" s="7">
        <v>0.95599999999999996</v>
      </c>
      <c r="CB25" s="7">
        <v>0.96699999999999997</v>
      </c>
    </row>
    <row r="26" spans="1:80" x14ac:dyDescent="0.2">
      <c r="A26" s="1" t="s">
        <v>166</v>
      </c>
      <c r="B26" s="1" t="s">
        <v>81</v>
      </c>
      <c r="C26" s="1" t="s">
        <v>206</v>
      </c>
      <c r="D26" s="1" t="s">
        <v>108</v>
      </c>
      <c r="E26" s="1">
        <v>303</v>
      </c>
      <c r="F26" s="1">
        <v>1000</v>
      </c>
      <c r="G26" s="1">
        <v>0.30299999999999999</v>
      </c>
      <c r="H26" s="1">
        <v>0.97843527049254797</v>
      </c>
      <c r="I26" s="1">
        <v>0.94771526542501805</v>
      </c>
      <c r="J26" s="1">
        <v>1</v>
      </c>
      <c r="K26" s="1">
        <v>0.97959183673469397</v>
      </c>
      <c r="L26" s="1">
        <v>0.94623655913978499</v>
      </c>
      <c r="M26" s="1">
        <v>1</v>
      </c>
      <c r="N26" s="1">
        <v>0.99010043041606899</v>
      </c>
      <c r="O26" s="1">
        <v>0.96736405631670996</v>
      </c>
      <c r="P26" s="1">
        <v>1</v>
      </c>
      <c r="Q26" s="1">
        <v>0.97728143205595996</v>
      </c>
      <c r="R26" s="1">
        <v>0.92870442132529496</v>
      </c>
      <c r="S26" s="1">
        <v>1</v>
      </c>
      <c r="T26" s="1">
        <v>0.991119031358905</v>
      </c>
      <c r="U26" s="1">
        <v>0.976951280110677</v>
      </c>
      <c r="V26" s="1">
        <v>1</v>
      </c>
      <c r="W26" s="1">
        <v>0.30299999999999999</v>
      </c>
      <c r="X26" s="1">
        <v>0.30299999999999999</v>
      </c>
      <c r="Y26" s="1">
        <v>0.30299999999999999</v>
      </c>
      <c r="Z26" s="1">
        <v>0.96904615002517303</v>
      </c>
      <c r="AA26" s="1">
        <v>0.92521916310212304</v>
      </c>
      <c r="AB26" s="1">
        <v>1</v>
      </c>
      <c r="AC26" s="1">
        <v>0.98420468768205904</v>
      </c>
      <c r="AD26" s="1">
        <v>0.95718082303474805</v>
      </c>
      <c r="AE26" s="1">
        <v>1</v>
      </c>
      <c r="AF26" s="1">
        <v>0.99122673459910304</v>
      </c>
      <c r="AG26" s="1">
        <v>0.97632330814276502</v>
      </c>
      <c r="AH26" s="1">
        <v>1</v>
      </c>
      <c r="AI26" s="1">
        <v>200</v>
      </c>
      <c r="AJ26" s="1">
        <v>97</v>
      </c>
      <c r="AK26" s="1">
        <v>103</v>
      </c>
      <c r="AL26" s="1">
        <v>96</v>
      </c>
      <c r="AM26" s="1">
        <v>0</v>
      </c>
      <c r="AN26" s="1">
        <v>2</v>
      </c>
      <c r="AO26" s="1">
        <v>0</v>
      </c>
      <c r="AP26" s="1">
        <v>0</v>
      </c>
      <c r="AQ26" s="1">
        <v>1</v>
      </c>
      <c r="AR26" s="1">
        <v>2</v>
      </c>
      <c r="AS26" s="1">
        <v>99</v>
      </c>
      <c r="AT26" s="1">
        <v>93</v>
      </c>
      <c r="AU26" s="1">
        <v>5</v>
      </c>
      <c r="AV26" s="1">
        <v>0</v>
      </c>
      <c r="AW26" s="1">
        <v>102</v>
      </c>
      <c r="AX26" s="1">
        <v>0.94992990186260795</v>
      </c>
      <c r="AY26" s="1">
        <v>0.90015974440894597</v>
      </c>
      <c r="AZ26" s="1">
        <v>0.98995782285599498</v>
      </c>
      <c r="BA26" s="1">
        <v>622</v>
      </c>
      <c r="BB26" s="1">
        <v>813.72</v>
      </c>
      <c r="BC26" s="1">
        <v>98</v>
      </c>
      <c r="BD26" s="1">
        <v>102</v>
      </c>
      <c r="BE26" s="1">
        <v>0.928217942829897</v>
      </c>
      <c r="BF26" s="1">
        <v>0.99751885012126695</v>
      </c>
      <c r="BG26" s="1">
        <v>0.946584589602814</v>
      </c>
      <c r="BH26" s="1">
        <v>0.99975181699872995</v>
      </c>
      <c r="BI26" s="1">
        <v>0.928217942829897</v>
      </c>
      <c r="BJ26" s="1">
        <v>0.946584589602814</v>
      </c>
      <c r="BK26" s="1">
        <v>1</v>
      </c>
      <c r="BL26" s="1">
        <v>1</v>
      </c>
      <c r="BM26" s="1">
        <v>3</v>
      </c>
      <c r="BN26" s="4" t="s">
        <v>167</v>
      </c>
      <c r="BO26" s="4" t="s">
        <v>85</v>
      </c>
      <c r="BP26" s="4" t="s">
        <v>206</v>
      </c>
      <c r="BQ26" s="4" t="s">
        <v>108</v>
      </c>
      <c r="BR26" s="4" t="s">
        <v>86</v>
      </c>
      <c r="BS26" s="5">
        <v>0.30299999999999999</v>
      </c>
      <c r="BT26" s="6" t="s">
        <v>200</v>
      </c>
      <c r="BU26" s="6" t="s">
        <v>186</v>
      </c>
      <c r="BV26" s="7">
        <v>0.99099999999999999</v>
      </c>
      <c r="BW26" s="7">
        <v>0.97699999999999998</v>
      </c>
      <c r="BX26" s="7">
        <v>0.99099999999999999</v>
      </c>
      <c r="BY26" s="7">
        <v>0.97799999999999998</v>
      </c>
      <c r="BZ26" s="7">
        <v>0.98399999999999999</v>
      </c>
      <c r="CA26" s="7">
        <v>0.96899999999999997</v>
      </c>
      <c r="CB26" s="7">
        <v>0.95</v>
      </c>
    </row>
    <row r="27" spans="1:80" x14ac:dyDescent="0.2">
      <c r="A27" s="1" t="s">
        <v>166</v>
      </c>
      <c r="B27" s="1" t="s">
        <v>81</v>
      </c>
      <c r="C27" s="1" t="s">
        <v>206</v>
      </c>
      <c r="D27" s="1" t="s">
        <v>106</v>
      </c>
      <c r="E27" s="1">
        <v>320</v>
      </c>
      <c r="F27" s="1">
        <v>1000</v>
      </c>
      <c r="G27" s="1">
        <v>0.32</v>
      </c>
      <c r="H27" s="1">
        <v>0.96670864412799895</v>
      </c>
      <c r="I27" s="1">
        <v>0.93759483056450699</v>
      </c>
      <c r="J27" s="1">
        <v>0.99493885888671196</v>
      </c>
      <c r="K27" s="1">
        <v>0.93556249999999996</v>
      </c>
      <c r="L27" s="1">
        <v>0.88252096072162001</v>
      </c>
      <c r="M27" s="1">
        <v>0.98992869015957496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0.97056892466672395</v>
      </c>
      <c r="U27" s="1">
        <v>0.94761197895722105</v>
      </c>
      <c r="V27" s="1">
        <v>0.99528291643786104</v>
      </c>
      <c r="W27" s="1">
        <v>0.32</v>
      </c>
      <c r="X27" s="1">
        <v>0.32</v>
      </c>
      <c r="Y27" s="1">
        <v>0.32</v>
      </c>
      <c r="Z27" s="1">
        <v>0.95290497405749297</v>
      </c>
      <c r="AA27" s="1">
        <v>0.91448752534871802</v>
      </c>
      <c r="AB27" s="1">
        <v>0.99260219312577902</v>
      </c>
      <c r="AC27" s="1">
        <v>0.98405240586704401</v>
      </c>
      <c r="AD27" s="1">
        <v>0.96962947920193299</v>
      </c>
      <c r="AE27" s="1">
        <v>0.99761188775261</v>
      </c>
      <c r="AF27" s="1">
        <v>0.96860547881592995</v>
      </c>
      <c r="AG27" s="1">
        <v>0.94104932128289998</v>
      </c>
      <c r="AH27" s="1">
        <v>0.99523515450592004</v>
      </c>
      <c r="AI27" s="1">
        <v>200</v>
      </c>
      <c r="AJ27" s="1">
        <v>97</v>
      </c>
      <c r="AK27" s="1">
        <v>103</v>
      </c>
      <c r="AL27" s="1">
        <v>96</v>
      </c>
      <c r="AM27" s="1">
        <v>1</v>
      </c>
      <c r="AN27" s="1">
        <v>4</v>
      </c>
      <c r="AO27" s="1">
        <v>1</v>
      </c>
      <c r="AP27" s="1">
        <v>0</v>
      </c>
      <c r="AQ27" s="1">
        <v>0</v>
      </c>
      <c r="AR27" s="1">
        <v>0</v>
      </c>
      <c r="AS27" s="1">
        <v>98</v>
      </c>
      <c r="AT27" s="1">
        <v>93</v>
      </c>
      <c r="AU27" s="1">
        <v>5</v>
      </c>
      <c r="AV27" s="1">
        <v>0</v>
      </c>
      <c r="AW27" s="1">
        <v>102</v>
      </c>
      <c r="AX27" s="1">
        <v>0.94992990186260795</v>
      </c>
      <c r="AY27" s="1">
        <v>0.90015974440894597</v>
      </c>
      <c r="AZ27" s="1">
        <v>0.98995782285599498</v>
      </c>
      <c r="BA27" s="1">
        <v>622</v>
      </c>
      <c r="BB27" s="1">
        <v>813.72</v>
      </c>
      <c r="BC27" s="1">
        <v>102</v>
      </c>
      <c r="BD27" s="1">
        <v>98</v>
      </c>
      <c r="BE27" s="1">
        <v>0.86370300281928003</v>
      </c>
      <c r="BF27" s="1">
        <v>0.97196473537661399</v>
      </c>
      <c r="BG27" s="1">
        <v>0.96305801296480698</v>
      </c>
      <c r="BH27" s="1">
        <v>1</v>
      </c>
      <c r="BI27" s="1">
        <v>0.86370300281928003</v>
      </c>
      <c r="BJ27" s="1">
        <v>0.96305801296480698</v>
      </c>
      <c r="BK27" s="1">
        <v>0.98992869015957496</v>
      </c>
      <c r="BL27" s="1">
        <v>1</v>
      </c>
      <c r="BM27" s="1">
        <v>3</v>
      </c>
      <c r="BN27" s="4" t="s">
        <v>167</v>
      </c>
      <c r="BO27" s="4" t="s">
        <v>85</v>
      </c>
      <c r="BP27" s="4" t="s">
        <v>206</v>
      </c>
      <c r="BQ27" s="4" t="s">
        <v>106</v>
      </c>
      <c r="BR27" s="4" t="s">
        <v>86</v>
      </c>
      <c r="BS27" s="5">
        <v>0.32</v>
      </c>
      <c r="BT27" s="6" t="s">
        <v>219</v>
      </c>
      <c r="BU27" s="6" t="s">
        <v>213</v>
      </c>
      <c r="BV27" s="7">
        <v>0.96899999999999997</v>
      </c>
      <c r="BW27" s="7">
        <v>1</v>
      </c>
      <c r="BX27" s="7">
        <v>0.97099999999999997</v>
      </c>
      <c r="BY27" s="7">
        <v>0.96699999999999997</v>
      </c>
      <c r="BZ27" s="7">
        <v>0.98399999999999999</v>
      </c>
      <c r="CA27" s="7">
        <v>0.95299999999999996</v>
      </c>
      <c r="CB27" s="7">
        <v>0.95</v>
      </c>
    </row>
    <row r="28" spans="1:80" x14ac:dyDescent="0.2">
      <c r="A28" s="1" t="s">
        <v>166</v>
      </c>
      <c r="B28" s="1" t="s">
        <v>126</v>
      </c>
      <c r="C28" s="1" t="s">
        <v>82</v>
      </c>
      <c r="D28" s="1" t="s">
        <v>108</v>
      </c>
      <c r="E28" s="1">
        <v>748</v>
      </c>
      <c r="F28" s="1">
        <v>838</v>
      </c>
      <c r="G28" s="1">
        <v>0.89260143198090702</v>
      </c>
      <c r="H28" s="1">
        <v>0.99168697147771201</v>
      </c>
      <c r="I28" s="1">
        <v>0.98093825954186598</v>
      </c>
      <c r="J28" s="1">
        <v>0.99919312904556101</v>
      </c>
      <c r="K28" s="1">
        <v>0.98666666666666702</v>
      </c>
      <c r="L28" s="1">
        <v>0.965753424657534</v>
      </c>
      <c r="M28" s="1">
        <v>1</v>
      </c>
      <c r="N28" s="1">
        <v>0.97333333333333305</v>
      </c>
      <c r="O28" s="1">
        <v>0.94520547945205502</v>
      </c>
      <c r="P28" s="1">
        <v>0.99371069182389904</v>
      </c>
      <c r="Q28" s="1">
        <v>0.99675862565727902</v>
      </c>
      <c r="R28" s="1">
        <v>0.99336471034499396</v>
      </c>
      <c r="S28" s="1">
        <v>0.99923427578276103</v>
      </c>
      <c r="T28" s="1">
        <v>0.89778628040448205</v>
      </c>
      <c r="U28" s="1">
        <v>0.77386338305051094</v>
      </c>
      <c r="V28" s="1">
        <v>1</v>
      </c>
      <c r="W28" s="1">
        <v>0.89260143198090702</v>
      </c>
      <c r="X28" s="1">
        <v>0.89260143198090702</v>
      </c>
      <c r="Y28" s="1">
        <v>0.89260143198090702</v>
      </c>
      <c r="Z28" s="1">
        <v>0.92669472309887002</v>
      </c>
      <c r="AA28" s="1">
        <v>0.84884255306294099</v>
      </c>
      <c r="AB28" s="1">
        <v>0.99246480231421497</v>
      </c>
      <c r="AC28" s="1">
        <v>0.94553698410590403</v>
      </c>
      <c r="AD28" s="1">
        <v>0.87091323730415204</v>
      </c>
      <c r="AE28" s="1">
        <v>0.99919312904556101</v>
      </c>
      <c r="AF28" s="1">
        <v>0.89932241500677301</v>
      </c>
      <c r="AG28" s="1">
        <v>0.77293160857626397</v>
      </c>
      <c r="AH28" s="1">
        <v>1</v>
      </c>
      <c r="AI28" s="1">
        <v>300</v>
      </c>
      <c r="AJ28" s="1">
        <v>152</v>
      </c>
      <c r="AK28" s="1">
        <v>148</v>
      </c>
      <c r="AL28" s="1">
        <v>148</v>
      </c>
      <c r="AM28" s="1">
        <v>0</v>
      </c>
      <c r="AN28" s="1">
        <v>2</v>
      </c>
      <c r="AO28" s="1">
        <v>0</v>
      </c>
      <c r="AP28" s="1">
        <v>0</v>
      </c>
      <c r="AQ28" s="1">
        <v>4</v>
      </c>
      <c r="AR28" s="1">
        <v>0</v>
      </c>
      <c r="AS28" s="1">
        <v>146</v>
      </c>
      <c r="AT28" s="1">
        <v>148</v>
      </c>
      <c r="AU28" s="1">
        <v>5</v>
      </c>
      <c r="AV28" s="1">
        <v>2</v>
      </c>
      <c r="AW28" s="1">
        <v>145</v>
      </c>
      <c r="AX28" s="1">
        <v>0.95333333333333303</v>
      </c>
      <c r="AY28" s="1">
        <v>0.91336394472284999</v>
      </c>
      <c r="AZ28" s="1">
        <v>0.98660774072585999</v>
      </c>
      <c r="BA28" s="1">
        <v>363.5</v>
      </c>
      <c r="BB28" s="1">
        <v>587.79</v>
      </c>
      <c r="BC28" s="1">
        <v>150</v>
      </c>
      <c r="BD28" s="1">
        <v>150</v>
      </c>
      <c r="BE28" s="1">
        <v>0.95266698050366405</v>
      </c>
      <c r="BF28" s="1">
        <v>0.99838117297016005</v>
      </c>
      <c r="BG28" s="1">
        <v>0.93313212332251105</v>
      </c>
      <c r="BH28" s="1">
        <v>0.99268745360199195</v>
      </c>
      <c r="BI28" s="1">
        <v>0.95266698050366405</v>
      </c>
      <c r="BJ28" s="1">
        <v>0.93313212332251105</v>
      </c>
      <c r="BK28" s="1">
        <v>1</v>
      </c>
      <c r="BL28" s="1">
        <v>0.99371069182389904</v>
      </c>
      <c r="BM28" s="1">
        <v>3</v>
      </c>
      <c r="BN28" s="4" t="s">
        <v>167</v>
      </c>
      <c r="BO28" s="4" t="s">
        <v>127</v>
      </c>
      <c r="BP28" s="4" t="s">
        <v>82</v>
      </c>
      <c r="BQ28" s="4" t="s">
        <v>108</v>
      </c>
      <c r="BR28" s="4" t="s">
        <v>86</v>
      </c>
      <c r="BS28" s="5">
        <v>0.89300000000000002</v>
      </c>
      <c r="BT28" s="6" t="s">
        <v>91</v>
      </c>
      <c r="BU28" s="6" t="s">
        <v>168</v>
      </c>
      <c r="BV28" s="7">
        <v>0.89900000000000002</v>
      </c>
      <c r="BW28" s="7">
        <v>0.997</v>
      </c>
      <c r="BX28" s="7">
        <v>0.89800000000000002</v>
      </c>
      <c r="BY28" s="7">
        <v>0.99199999999999999</v>
      </c>
      <c r="BZ28" s="7">
        <v>0.94599999999999995</v>
      </c>
      <c r="CA28" s="7">
        <v>0.92700000000000005</v>
      </c>
      <c r="CB28" s="7">
        <v>0.95299999999999996</v>
      </c>
    </row>
    <row r="29" spans="1:80" x14ac:dyDescent="0.2">
      <c r="A29" s="1" t="s">
        <v>166</v>
      </c>
      <c r="B29" s="1" t="s">
        <v>126</v>
      </c>
      <c r="C29" s="1" t="s">
        <v>82</v>
      </c>
      <c r="D29" s="1" t="s">
        <v>106</v>
      </c>
      <c r="E29" s="1">
        <v>753</v>
      </c>
      <c r="F29" s="1">
        <v>838</v>
      </c>
      <c r="G29" s="1">
        <v>0.89856801909307904</v>
      </c>
      <c r="H29" s="1">
        <v>0.99210522273803103</v>
      </c>
      <c r="I29" s="1">
        <v>0.98128282022975699</v>
      </c>
      <c r="J29" s="1">
        <v>0.999616195640886</v>
      </c>
      <c r="K29" s="1">
        <v>0.98509517485613096</v>
      </c>
      <c r="L29" s="1">
        <v>0.96400869950151102</v>
      </c>
      <c r="M29" s="1">
        <v>1</v>
      </c>
      <c r="N29" s="1">
        <v>0.99315068493150704</v>
      </c>
      <c r="O29" s="1">
        <v>0.97761194029850795</v>
      </c>
      <c r="P29" s="1">
        <v>1</v>
      </c>
      <c r="Q29" s="1">
        <v>0.99921575424850495</v>
      </c>
      <c r="R29" s="1">
        <v>0.99744311053332402</v>
      </c>
      <c r="S29" s="1">
        <v>1</v>
      </c>
      <c r="T29" s="1">
        <v>0.88265161675040105</v>
      </c>
      <c r="U29" s="1">
        <v>0.75701504676697795</v>
      </c>
      <c r="V29" s="1">
        <v>1</v>
      </c>
      <c r="W29" s="1">
        <v>0.89856801909307904</v>
      </c>
      <c r="X29" s="1">
        <v>0.89856801909307904</v>
      </c>
      <c r="Y29" s="1">
        <v>0.89856801909307904</v>
      </c>
      <c r="Z29" s="1">
        <v>0.92880735600095699</v>
      </c>
      <c r="AA29" s="1">
        <v>0.85064214780053904</v>
      </c>
      <c r="AB29" s="1">
        <v>0.99621041176877001</v>
      </c>
      <c r="AC29" s="1">
        <v>0.93689244402064598</v>
      </c>
      <c r="AD29" s="1">
        <v>0.85787944006218997</v>
      </c>
      <c r="AE29" s="1">
        <v>0.999616195640886</v>
      </c>
      <c r="AF29" s="1">
        <v>0.88188717818274798</v>
      </c>
      <c r="AG29" s="1">
        <v>0.75173553151132499</v>
      </c>
      <c r="AH29" s="1">
        <v>1</v>
      </c>
      <c r="AI29" s="1">
        <v>300</v>
      </c>
      <c r="AJ29" s="1">
        <v>152</v>
      </c>
      <c r="AK29" s="1">
        <v>148</v>
      </c>
      <c r="AL29" s="1">
        <v>148</v>
      </c>
      <c r="AM29" s="1">
        <v>3</v>
      </c>
      <c r="AN29" s="1">
        <v>2</v>
      </c>
      <c r="AO29" s="1">
        <v>1</v>
      </c>
      <c r="AP29" s="1">
        <v>0</v>
      </c>
      <c r="AQ29" s="1">
        <v>1</v>
      </c>
      <c r="AR29" s="1">
        <v>0</v>
      </c>
      <c r="AS29" s="1">
        <v>145</v>
      </c>
      <c r="AT29" s="1">
        <v>148</v>
      </c>
      <c r="AU29" s="1">
        <v>5</v>
      </c>
      <c r="AV29" s="1">
        <v>2</v>
      </c>
      <c r="AW29" s="1">
        <v>145</v>
      </c>
      <c r="AX29" s="1">
        <v>0.95333333333333303</v>
      </c>
      <c r="AY29" s="1">
        <v>0.91897366644159395</v>
      </c>
      <c r="AZ29" s="1">
        <v>0.986550100874243</v>
      </c>
      <c r="BA29" s="1">
        <v>363.5</v>
      </c>
      <c r="BB29" s="1">
        <v>587.79</v>
      </c>
      <c r="BC29" s="1">
        <v>154</v>
      </c>
      <c r="BD29" s="1">
        <v>146</v>
      </c>
      <c r="BE29" s="1">
        <v>0.95387554904439797</v>
      </c>
      <c r="BF29" s="1">
        <v>0.99842332460439498</v>
      </c>
      <c r="BG29" s="1">
        <v>0.96243020690661496</v>
      </c>
      <c r="BH29" s="1">
        <v>0.99982660539085499</v>
      </c>
      <c r="BI29" s="1">
        <v>0.95387554904439797</v>
      </c>
      <c r="BJ29" s="1">
        <v>0.96243020690661496</v>
      </c>
      <c r="BK29" s="1">
        <v>1</v>
      </c>
      <c r="BL29" s="1">
        <v>1</v>
      </c>
      <c r="BM29" s="1">
        <v>3</v>
      </c>
      <c r="BN29" s="4" t="s">
        <v>167</v>
      </c>
      <c r="BO29" s="4" t="s">
        <v>127</v>
      </c>
      <c r="BP29" s="4" t="s">
        <v>82</v>
      </c>
      <c r="BQ29" s="4" t="s">
        <v>106</v>
      </c>
      <c r="BR29" s="4" t="s">
        <v>86</v>
      </c>
      <c r="BS29" s="5">
        <v>0.89900000000000002</v>
      </c>
      <c r="BT29" s="6" t="s">
        <v>169</v>
      </c>
      <c r="BU29" s="6" t="s">
        <v>138</v>
      </c>
      <c r="BV29" s="7">
        <v>0.88200000000000001</v>
      </c>
      <c r="BW29" s="7">
        <v>0.999</v>
      </c>
      <c r="BX29" s="7">
        <v>0.88300000000000001</v>
      </c>
      <c r="BY29" s="7">
        <v>0.99199999999999999</v>
      </c>
      <c r="BZ29" s="7">
        <v>0.93700000000000006</v>
      </c>
      <c r="CA29" s="7">
        <v>0.92900000000000005</v>
      </c>
      <c r="CB29" s="7">
        <v>0.95299999999999996</v>
      </c>
    </row>
    <row r="30" spans="1:80" x14ac:dyDescent="0.2">
      <c r="A30" s="1" t="s">
        <v>166</v>
      </c>
      <c r="B30" s="1" t="s">
        <v>126</v>
      </c>
      <c r="C30" s="1" t="s">
        <v>206</v>
      </c>
      <c r="D30" s="1" t="s">
        <v>108</v>
      </c>
      <c r="E30" s="1">
        <v>867</v>
      </c>
      <c r="F30" s="1">
        <v>1000</v>
      </c>
      <c r="G30" s="1">
        <v>0.86699999999999999</v>
      </c>
      <c r="H30" s="1">
        <v>0.99344324909287696</v>
      </c>
      <c r="I30" s="1">
        <v>0.981286455339485</v>
      </c>
      <c r="J30" s="1">
        <v>1</v>
      </c>
      <c r="K30" s="1">
        <v>0.99</v>
      </c>
      <c r="L30" s="1">
        <v>0.96703296703296704</v>
      </c>
      <c r="M30" s="1">
        <v>1</v>
      </c>
      <c r="N30" s="1">
        <v>0.98</v>
      </c>
      <c r="O30" s="1">
        <v>0.94844916459296102</v>
      </c>
      <c r="P30" s="1">
        <v>1</v>
      </c>
      <c r="Q30" s="1">
        <v>0.99691053322338197</v>
      </c>
      <c r="R30" s="1">
        <v>0.99207361407440098</v>
      </c>
      <c r="S30" s="1">
        <v>1</v>
      </c>
      <c r="T30" s="1">
        <v>0.93763038630314399</v>
      </c>
      <c r="U30" s="1">
        <v>0.81927309287666805</v>
      </c>
      <c r="V30" s="1">
        <v>1</v>
      </c>
      <c r="W30" s="1">
        <v>0.86699999999999999</v>
      </c>
      <c r="X30" s="1">
        <v>0.86699999999999999</v>
      </c>
      <c r="Y30" s="1">
        <v>0.86699999999999999</v>
      </c>
      <c r="Z30" s="1">
        <v>0.95210539959645801</v>
      </c>
      <c r="AA30" s="1">
        <v>0.87500387992175399</v>
      </c>
      <c r="AB30" s="1">
        <v>1</v>
      </c>
      <c r="AC30" s="1">
        <v>0.96677108911572196</v>
      </c>
      <c r="AD30" s="1">
        <v>0.89868308847846801</v>
      </c>
      <c r="AE30" s="1">
        <v>1</v>
      </c>
      <c r="AF30" s="1">
        <v>0.93840056786706305</v>
      </c>
      <c r="AG30" s="1">
        <v>0.81860204689112004</v>
      </c>
      <c r="AH30" s="1">
        <v>1</v>
      </c>
      <c r="AI30" s="1">
        <v>200</v>
      </c>
      <c r="AJ30" s="1">
        <v>101</v>
      </c>
      <c r="AK30" s="1">
        <v>99</v>
      </c>
      <c r="AL30" s="1">
        <v>99</v>
      </c>
      <c r="AM30" s="1">
        <v>0</v>
      </c>
      <c r="AN30" s="1">
        <v>1</v>
      </c>
      <c r="AO30" s="1">
        <v>0</v>
      </c>
      <c r="AP30" s="1">
        <v>0</v>
      </c>
      <c r="AQ30" s="1">
        <v>2</v>
      </c>
      <c r="AR30" s="1">
        <v>0</v>
      </c>
      <c r="AS30" s="1">
        <v>98</v>
      </c>
      <c r="AT30" s="1">
        <v>95</v>
      </c>
      <c r="AU30" s="1">
        <v>8</v>
      </c>
      <c r="AV30" s="1">
        <v>0</v>
      </c>
      <c r="AW30" s="1">
        <v>97</v>
      </c>
      <c r="AX30" s="1">
        <v>0.92011982026959604</v>
      </c>
      <c r="AY30" s="1">
        <v>0.86046048041463197</v>
      </c>
      <c r="AZ30" s="1">
        <v>0.96994590262472402</v>
      </c>
      <c r="BA30" s="1">
        <v>328</v>
      </c>
      <c r="BB30" s="1">
        <v>537.63</v>
      </c>
      <c r="BC30" s="1">
        <v>100</v>
      </c>
      <c r="BD30" s="1">
        <v>100</v>
      </c>
      <c r="BE30" s="1">
        <v>0.94554061460791905</v>
      </c>
      <c r="BF30" s="1">
        <v>0.99974685396702301</v>
      </c>
      <c r="BG30" s="1">
        <v>0.92961606752893</v>
      </c>
      <c r="BH30" s="1">
        <v>0.99756866317605697</v>
      </c>
      <c r="BI30" s="1">
        <v>0.94554061460791905</v>
      </c>
      <c r="BJ30" s="1">
        <v>0.92961606752893</v>
      </c>
      <c r="BK30" s="1">
        <v>1</v>
      </c>
      <c r="BL30" s="1">
        <v>1</v>
      </c>
      <c r="BM30" s="1">
        <v>3</v>
      </c>
      <c r="BN30" s="4" t="s">
        <v>167</v>
      </c>
      <c r="BO30" s="4" t="s">
        <v>127</v>
      </c>
      <c r="BP30" s="4" t="s">
        <v>206</v>
      </c>
      <c r="BQ30" s="4" t="s">
        <v>108</v>
      </c>
      <c r="BR30" s="4" t="s">
        <v>86</v>
      </c>
      <c r="BS30" s="5">
        <v>0.86699999999999999</v>
      </c>
      <c r="BT30" s="6" t="s">
        <v>186</v>
      </c>
      <c r="BU30" s="6" t="s">
        <v>200</v>
      </c>
      <c r="BV30" s="7">
        <v>0.93799999999999994</v>
      </c>
      <c r="BW30" s="7">
        <v>0.997</v>
      </c>
      <c r="BX30" s="7">
        <v>0.93799999999999994</v>
      </c>
      <c r="BY30" s="7">
        <v>0.99299999999999999</v>
      </c>
      <c r="BZ30" s="7">
        <v>0.96699999999999997</v>
      </c>
      <c r="CA30" s="7">
        <v>0.95199999999999996</v>
      </c>
      <c r="CB30" s="7">
        <v>0.92</v>
      </c>
    </row>
    <row r="31" spans="1:80" x14ac:dyDescent="0.2">
      <c r="A31" s="1" t="s">
        <v>166</v>
      </c>
      <c r="B31" s="1" t="s">
        <v>126</v>
      </c>
      <c r="C31" s="1" t="s">
        <v>206</v>
      </c>
      <c r="D31" s="1" t="s">
        <v>106</v>
      </c>
      <c r="E31" s="1">
        <v>878</v>
      </c>
      <c r="F31" s="1">
        <v>1000</v>
      </c>
      <c r="G31" s="1">
        <v>0.878</v>
      </c>
      <c r="H31" s="1">
        <v>0.99008699400517097</v>
      </c>
      <c r="I31" s="1">
        <v>0.97769747166395105</v>
      </c>
      <c r="J31" s="1">
        <v>0.99931259085633095</v>
      </c>
      <c r="K31" s="1">
        <v>0.98177296886864096</v>
      </c>
      <c r="L31" s="1">
        <v>0.95784738041002304</v>
      </c>
      <c r="M31" s="1">
        <v>1</v>
      </c>
      <c r="N31" s="1">
        <v>0.98969072164948502</v>
      </c>
      <c r="O31" s="1">
        <v>0.96629213483146104</v>
      </c>
      <c r="P31" s="1">
        <v>1</v>
      </c>
      <c r="Q31" s="1">
        <v>0.99854303440473002</v>
      </c>
      <c r="R31" s="1">
        <v>0.99524647103179797</v>
      </c>
      <c r="S31" s="1">
        <v>1</v>
      </c>
      <c r="T31" s="1">
        <v>0.88297003214386804</v>
      </c>
      <c r="U31" s="1">
        <v>0.76541073075574695</v>
      </c>
      <c r="V31" s="1">
        <v>1</v>
      </c>
      <c r="W31" s="1">
        <v>0.878</v>
      </c>
      <c r="X31" s="1">
        <v>0.878</v>
      </c>
      <c r="Y31" s="1">
        <v>0.878</v>
      </c>
      <c r="Z31" s="1">
        <v>0.92539609728442795</v>
      </c>
      <c r="AA31" s="1">
        <v>0.85063047233428901</v>
      </c>
      <c r="AB31" s="1">
        <v>0.99435342747875</v>
      </c>
      <c r="AC31" s="1">
        <v>0.93682317176350105</v>
      </c>
      <c r="AD31" s="1">
        <v>0.86291366590125895</v>
      </c>
      <c r="AE31" s="1">
        <v>0.99931259085633095</v>
      </c>
      <c r="AF31" s="1">
        <v>0.88228896365204101</v>
      </c>
      <c r="AG31" s="1">
        <v>0.75946818681531802</v>
      </c>
      <c r="AH31" s="1">
        <v>1</v>
      </c>
      <c r="AI31" s="1">
        <v>200</v>
      </c>
      <c r="AJ31" s="1">
        <v>101</v>
      </c>
      <c r="AK31" s="1">
        <v>99</v>
      </c>
      <c r="AL31" s="1">
        <v>99</v>
      </c>
      <c r="AM31" s="1">
        <v>1</v>
      </c>
      <c r="AN31" s="1">
        <v>1</v>
      </c>
      <c r="AO31" s="1">
        <v>2</v>
      </c>
      <c r="AP31" s="1">
        <v>0</v>
      </c>
      <c r="AQ31" s="1">
        <v>1</v>
      </c>
      <c r="AR31" s="1">
        <v>0</v>
      </c>
      <c r="AS31" s="1">
        <v>96</v>
      </c>
      <c r="AT31" s="1">
        <v>95</v>
      </c>
      <c r="AU31" s="1">
        <v>8</v>
      </c>
      <c r="AV31" s="1">
        <v>0</v>
      </c>
      <c r="AW31" s="1">
        <v>97</v>
      </c>
      <c r="AX31" s="1">
        <v>0.92011982026959604</v>
      </c>
      <c r="AY31" s="1">
        <v>0.86046048041463197</v>
      </c>
      <c r="AZ31" s="1">
        <v>0.96994590262472402</v>
      </c>
      <c r="BA31" s="1">
        <v>328</v>
      </c>
      <c r="BB31" s="1">
        <v>537.63</v>
      </c>
      <c r="BC31" s="1">
        <v>103</v>
      </c>
      <c r="BD31" s="1">
        <v>97</v>
      </c>
      <c r="BE31" s="1">
        <v>0.931614068099619</v>
      </c>
      <c r="BF31" s="1">
        <v>0.99763974206289097</v>
      </c>
      <c r="BG31" s="1">
        <v>0.94389584589490805</v>
      </c>
      <c r="BH31" s="1">
        <v>0.99973902572997597</v>
      </c>
      <c r="BI31" s="1">
        <v>0.931614068099619</v>
      </c>
      <c r="BJ31" s="1">
        <v>0.94389584589490805</v>
      </c>
      <c r="BK31" s="1">
        <v>1</v>
      </c>
      <c r="BL31" s="1">
        <v>1</v>
      </c>
      <c r="BM31" s="1">
        <v>3</v>
      </c>
      <c r="BN31" s="4" t="s">
        <v>167</v>
      </c>
      <c r="BO31" s="4" t="s">
        <v>127</v>
      </c>
      <c r="BP31" s="4" t="s">
        <v>206</v>
      </c>
      <c r="BQ31" s="4" t="s">
        <v>106</v>
      </c>
      <c r="BR31" s="4" t="s">
        <v>86</v>
      </c>
      <c r="BS31" s="5">
        <v>0.878</v>
      </c>
      <c r="BT31" s="6" t="s">
        <v>220</v>
      </c>
      <c r="BU31" s="6" t="s">
        <v>211</v>
      </c>
      <c r="BV31" s="7">
        <v>0.88200000000000001</v>
      </c>
      <c r="BW31" s="7">
        <v>0.999</v>
      </c>
      <c r="BX31" s="7">
        <v>0.88300000000000001</v>
      </c>
      <c r="BY31" s="7">
        <v>0.99</v>
      </c>
      <c r="BZ31" s="7">
        <v>0.93700000000000006</v>
      </c>
      <c r="CA31" s="7">
        <v>0.92500000000000004</v>
      </c>
      <c r="CB31" s="7">
        <v>0.92</v>
      </c>
    </row>
    <row r="32" spans="1:80" x14ac:dyDescent="0.2">
      <c r="A32" s="1" t="s">
        <v>139</v>
      </c>
      <c r="B32" s="1" t="s">
        <v>81</v>
      </c>
      <c r="C32" s="1" t="s">
        <v>82</v>
      </c>
      <c r="D32" s="1" t="s">
        <v>108</v>
      </c>
      <c r="E32" s="1">
        <v>293</v>
      </c>
      <c r="F32" s="1">
        <v>14379</v>
      </c>
      <c r="G32" s="1">
        <v>2.0376938591000801E-2</v>
      </c>
      <c r="H32" s="1">
        <v>0.78636086392406801</v>
      </c>
      <c r="I32" s="1">
        <v>0.58719480211124697</v>
      </c>
      <c r="J32" s="1">
        <v>0.94515649569478</v>
      </c>
      <c r="K32" s="1">
        <v>0.86764705882352999</v>
      </c>
      <c r="L32" s="1">
        <v>0.80800000000000005</v>
      </c>
      <c r="M32" s="1">
        <v>0.92241546377973804</v>
      </c>
      <c r="N32" s="1">
        <v>0.99294659337538804</v>
      </c>
      <c r="O32" s="1">
        <v>0.97824038067510699</v>
      </c>
      <c r="P32" s="1">
        <v>1</v>
      </c>
      <c r="Q32" s="1">
        <v>0.71900071799656595</v>
      </c>
      <c r="R32" s="1">
        <v>0.44958984593623702</v>
      </c>
      <c r="S32" s="1">
        <v>1</v>
      </c>
      <c r="T32" s="1">
        <v>0.99723506336412704</v>
      </c>
      <c r="U32" s="1">
        <v>0.995992801221391</v>
      </c>
      <c r="V32" s="1">
        <v>0.99837933429469605</v>
      </c>
      <c r="W32" s="1">
        <v>2.0376938591000801E-2</v>
      </c>
      <c r="X32" s="1">
        <v>2.0376938591000801E-2</v>
      </c>
      <c r="Y32" s="1">
        <v>2.0376938591000801E-2</v>
      </c>
      <c r="Z32" s="1">
        <v>0.78510379372204298</v>
      </c>
      <c r="AA32" s="1">
        <v>0.60723178143869905</v>
      </c>
      <c r="AB32" s="1">
        <v>0.94482902785962497</v>
      </c>
      <c r="AC32" s="1">
        <v>0.83573586974460701</v>
      </c>
      <c r="AD32" s="1">
        <v>0.61994889086467997</v>
      </c>
      <c r="AE32" s="1">
        <v>0.99845522344779802</v>
      </c>
      <c r="AF32" s="1">
        <v>0.99772380171888697</v>
      </c>
      <c r="AG32" s="1">
        <v>0.99564924888224804</v>
      </c>
      <c r="AH32" s="1">
        <v>0.99891069145064804</v>
      </c>
      <c r="AI32" s="1">
        <v>300</v>
      </c>
      <c r="AJ32" s="1">
        <v>121</v>
      </c>
      <c r="AK32" s="1">
        <v>179</v>
      </c>
      <c r="AL32" s="1">
        <v>118</v>
      </c>
      <c r="AM32" s="1">
        <v>0</v>
      </c>
      <c r="AN32" s="1">
        <v>18</v>
      </c>
      <c r="AO32" s="1">
        <v>0</v>
      </c>
      <c r="AP32" s="1">
        <v>2</v>
      </c>
      <c r="AQ32" s="1">
        <v>1</v>
      </c>
      <c r="AR32" s="1">
        <v>12</v>
      </c>
      <c r="AS32" s="1">
        <v>149</v>
      </c>
      <c r="AT32" s="1">
        <v>117</v>
      </c>
      <c r="AU32" s="1">
        <v>3</v>
      </c>
      <c r="AV32" s="1">
        <v>7</v>
      </c>
      <c r="AW32" s="1">
        <v>173</v>
      </c>
      <c r="AX32" s="1">
        <v>0.93093922651933703</v>
      </c>
      <c r="AY32" s="1">
        <v>0.88610383740099397</v>
      </c>
      <c r="AZ32" s="1">
        <v>0.97170345217883403</v>
      </c>
      <c r="BA32" s="1">
        <v>864.5</v>
      </c>
      <c r="BB32" s="1">
        <v>999.15</v>
      </c>
      <c r="BC32" s="1">
        <v>136</v>
      </c>
      <c r="BD32" s="1">
        <v>164</v>
      </c>
      <c r="BE32" s="1">
        <v>0.79891184941654603</v>
      </c>
      <c r="BF32" s="1">
        <v>0.91963488338902899</v>
      </c>
      <c r="BG32" s="1">
        <v>0.96649632289661302</v>
      </c>
      <c r="BH32" s="1">
        <v>0.99984563503754398</v>
      </c>
      <c r="BI32" s="1">
        <v>0.79891184941654603</v>
      </c>
      <c r="BJ32" s="1">
        <v>0.96649632289661302</v>
      </c>
      <c r="BK32" s="1">
        <v>0.92241546377973804</v>
      </c>
      <c r="BL32" s="1">
        <v>1</v>
      </c>
      <c r="BM32" s="1">
        <v>4</v>
      </c>
      <c r="BN32" s="8" t="s">
        <v>140</v>
      </c>
      <c r="BO32" s="8" t="s">
        <v>85</v>
      </c>
      <c r="BP32" s="8" t="s">
        <v>82</v>
      </c>
      <c r="BQ32" s="8" t="s">
        <v>108</v>
      </c>
      <c r="BR32" s="8" t="s">
        <v>86</v>
      </c>
      <c r="BS32" s="7">
        <v>0.02</v>
      </c>
      <c r="BT32" s="9" t="s">
        <v>151</v>
      </c>
      <c r="BU32" s="9" t="s">
        <v>152</v>
      </c>
      <c r="BV32" s="7">
        <v>0.998</v>
      </c>
      <c r="BW32" s="7">
        <v>0.71899999999999997</v>
      </c>
      <c r="BX32" s="7">
        <v>0.997</v>
      </c>
      <c r="BY32" s="7">
        <v>0.78600000000000003</v>
      </c>
      <c r="BZ32" s="7">
        <v>0.83599999999999997</v>
      </c>
      <c r="CA32" s="7">
        <v>0.78500000000000003</v>
      </c>
      <c r="CB32" s="7">
        <v>0.93100000000000005</v>
      </c>
    </row>
    <row r="33" spans="1:80" x14ac:dyDescent="0.2">
      <c r="A33" s="1" t="s">
        <v>139</v>
      </c>
      <c r="B33" s="1" t="s">
        <v>81</v>
      </c>
      <c r="C33" s="1" t="s">
        <v>82</v>
      </c>
      <c r="D33" s="1" t="s">
        <v>119</v>
      </c>
      <c r="E33" s="1" t="s">
        <v>93</v>
      </c>
      <c r="F33" s="1" t="s">
        <v>93</v>
      </c>
      <c r="G33" s="1">
        <v>1.90165536122292E-2</v>
      </c>
      <c r="H33" s="1">
        <v>0.77853930550527695</v>
      </c>
      <c r="I33" s="1">
        <v>0.55693451676163197</v>
      </c>
      <c r="J33" s="1">
        <v>0.96</v>
      </c>
      <c r="K33" s="1">
        <v>0.92079207920792105</v>
      </c>
      <c r="L33" s="1">
        <v>0.86458333333333304</v>
      </c>
      <c r="M33" s="1">
        <v>0.969387755102041</v>
      </c>
      <c r="N33" s="1">
        <v>0.991380510181606</v>
      </c>
      <c r="O33" s="1">
        <v>0.97424540849767405</v>
      </c>
      <c r="P33" s="1">
        <v>0.99961606294042904</v>
      </c>
      <c r="Q33" s="1">
        <v>0.67435802346301099</v>
      </c>
      <c r="R33" s="1">
        <v>0.400568216074843</v>
      </c>
      <c r="S33" s="1">
        <v>0.97959183673469497</v>
      </c>
      <c r="T33" s="1">
        <v>0.99845358430063302</v>
      </c>
      <c r="U33" s="1">
        <v>0.99736023431494902</v>
      </c>
      <c r="V33" s="1">
        <v>0.99940940632588304</v>
      </c>
      <c r="W33" s="1">
        <v>1.90165536122292E-2</v>
      </c>
      <c r="X33" s="1">
        <v>1.7369079908199501E-2</v>
      </c>
      <c r="Y33" s="1">
        <v>2.0544073009698301E-2</v>
      </c>
      <c r="Z33" s="1">
        <v>0.78340302936936201</v>
      </c>
      <c r="AA33" s="1">
        <v>0.593874910359383</v>
      </c>
      <c r="AB33" s="1">
        <v>0.95929595597865402</v>
      </c>
      <c r="AC33" s="1">
        <v>0.80514768072577103</v>
      </c>
      <c r="AD33" s="1">
        <v>0.57194499759445205</v>
      </c>
      <c r="AE33" s="1">
        <v>0.98894646833736699</v>
      </c>
      <c r="AF33" s="1">
        <v>0.99887674178970298</v>
      </c>
      <c r="AG33" s="1">
        <v>0.99749120520316303</v>
      </c>
      <c r="AH33" s="1">
        <v>0.99961695364681402</v>
      </c>
      <c r="AI33" s="1">
        <v>253</v>
      </c>
      <c r="AJ33" s="1">
        <v>99</v>
      </c>
      <c r="AK33" s="1">
        <v>154</v>
      </c>
      <c r="AL33" s="1">
        <v>93</v>
      </c>
      <c r="AM33" s="1">
        <v>0</v>
      </c>
      <c r="AN33" s="1">
        <v>8</v>
      </c>
      <c r="AO33" s="1">
        <v>0</v>
      </c>
      <c r="AP33" s="1">
        <v>5</v>
      </c>
      <c r="AQ33" s="1">
        <v>1</v>
      </c>
      <c r="AR33" s="1">
        <v>17</v>
      </c>
      <c r="AS33" s="1">
        <v>129</v>
      </c>
      <c r="AT33" s="1">
        <v>99</v>
      </c>
      <c r="AU33" s="1">
        <v>2</v>
      </c>
      <c r="AV33" s="1">
        <v>6</v>
      </c>
      <c r="AW33" s="1">
        <v>146</v>
      </c>
      <c r="AX33" s="1">
        <v>0.93451533583538204</v>
      </c>
      <c r="AY33" s="1">
        <v>0.88589358362943205</v>
      </c>
      <c r="AZ33" s="1">
        <v>0.97554531687985302</v>
      </c>
      <c r="BA33" s="1">
        <v>5088</v>
      </c>
      <c r="BB33" s="1">
        <v>5253.1343873517799</v>
      </c>
      <c r="BC33" s="1">
        <v>101</v>
      </c>
      <c r="BD33" s="1">
        <v>152</v>
      </c>
      <c r="BE33" s="1">
        <v>0.84988379899491195</v>
      </c>
      <c r="BF33" s="1">
        <v>0.96518308960120502</v>
      </c>
      <c r="BG33" s="1">
        <v>0.96389096626253401</v>
      </c>
      <c r="BH33" s="1">
        <v>0.99983344934488805</v>
      </c>
      <c r="BI33" s="1">
        <v>0.84988379899491195</v>
      </c>
      <c r="BJ33" s="1">
        <v>0.96389096626253401</v>
      </c>
      <c r="BK33" s="1">
        <v>0.969387755102041</v>
      </c>
      <c r="BL33" s="1">
        <v>0.99983344934488805</v>
      </c>
      <c r="BM33" s="1">
        <v>4</v>
      </c>
      <c r="BN33" s="8" t="s">
        <v>140</v>
      </c>
      <c r="BO33" s="8" t="s">
        <v>85</v>
      </c>
      <c r="BP33" s="8" t="s">
        <v>82</v>
      </c>
      <c r="BQ33" s="8" t="s">
        <v>108</v>
      </c>
      <c r="BR33" s="8" t="s">
        <v>100</v>
      </c>
      <c r="BS33" s="7">
        <v>1.9E-2</v>
      </c>
      <c r="BT33" s="9" t="s">
        <v>156</v>
      </c>
      <c r="BU33" s="9" t="s">
        <v>147</v>
      </c>
      <c r="BV33" s="7">
        <v>0.999</v>
      </c>
      <c r="BW33" s="7">
        <v>0.67400000000000004</v>
      </c>
      <c r="BX33" s="7">
        <v>0.998</v>
      </c>
      <c r="BY33" s="7">
        <v>0.77900000000000003</v>
      </c>
      <c r="BZ33" s="7">
        <v>0.80500000000000005</v>
      </c>
      <c r="CA33" s="7">
        <v>0.78300000000000003</v>
      </c>
      <c r="CB33" s="7">
        <v>0.93500000000000005</v>
      </c>
    </row>
    <row r="34" spans="1:80" x14ac:dyDescent="0.2">
      <c r="A34" s="1" t="s">
        <v>139</v>
      </c>
      <c r="B34" s="1" t="s">
        <v>81</v>
      </c>
      <c r="C34" s="1" t="s">
        <v>82</v>
      </c>
      <c r="D34" s="1" t="s">
        <v>106</v>
      </c>
      <c r="E34" s="1">
        <v>468</v>
      </c>
      <c r="F34" s="1">
        <v>14379</v>
      </c>
      <c r="G34" s="1">
        <v>3.25474650532026E-2</v>
      </c>
      <c r="H34" s="1">
        <v>0.81503987846562898</v>
      </c>
      <c r="I34" s="1">
        <v>0.64388400875840401</v>
      </c>
      <c r="J34" s="1">
        <v>0.94682776565188798</v>
      </c>
      <c r="K34" s="1">
        <v>0.68782051282051304</v>
      </c>
      <c r="L34" s="1">
        <v>0.47480010068426298</v>
      </c>
      <c r="M34" s="1">
        <v>0.89902461821573099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0.98960667563010896</v>
      </c>
      <c r="U34" s="1">
        <v>0.98263776666978497</v>
      </c>
      <c r="V34" s="1">
        <v>0.99661444258885501</v>
      </c>
      <c r="W34" s="1">
        <v>3.25474650532026E-2</v>
      </c>
      <c r="X34" s="1">
        <v>3.25474650532026E-2</v>
      </c>
      <c r="Y34" s="1">
        <v>3.25474650532026E-2</v>
      </c>
      <c r="Z34" s="1">
        <v>0.82502834564789596</v>
      </c>
      <c r="AA34" s="1">
        <v>0.68304942011581904</v>
      </c>
      <c r="AB34" s="1">
        <v>0.94656268605940896</v>
      </c>
      <c r="AC34" s="1">
        <v>0.99242323755900796</v>
      </c>
      <c r="AD34" s="1">
        <v>0.98173310318850904</v>
      </c>
      <c r="AE34" s="1">
        <v>0.998114260538428</v>
      </c>
      <c r="AF34" s="1">
        <v>0.98496042639444004</v>
      </c>
      <c r="AG34" s="1">
        <v>0.96412159353034699</v>
      </c>
      <c r="AH34" s="1">
        <v>0.99623561971768604</v>
      </c>
      <c r="AI34" s="1">
        <v>300</v>
      </c>
      <c r="AJ34" s="1">
        <v>121</v>
      </c>
      <c r="AK34" s="1">
        <v>179</v>
      </c>
      <c r="AL34" s="1">
        <v>120</v>
      </c>
      <c r="AM34" s="1">
        <v>1</v>
      </c>
      <c r="AN34" s="1">
        <v>30</v>
      </c>
      <c r="AO34" s="1">
        <v>1</v>
      </c>
      <c r="AP34" s="1">
        <v>0</v>
      </c>
      <c r="AQ34" s="1">
        <v>0</v>
      </c>
      <c r="AR34" s="1">
        <v>0</v>
      </c>
      <c r="AS34" s="1">
        <v>148</v>
      </c>
      <c r="AT34" s="1">
        <v>117</v>
      </c>
      <c r="AU34" s="1">
        <v>3</v>
      </c>
      <c r="AV34" s="1">
        <v>7</v>
      </c>
      <c r="AW34" s="1">
        <v>173</v>
      </c>
      <c r="AX34" s="1">
        <v>0.93093922651933703</v>
      </c>
      <c r="AY34" s="1">
        <v>0.88681406673713103</v>
      </c>
      <c r="AZ34" s="1">
        <v>0.97082888244704701</v>
      </c>
      <c r="BA34" s="1">
        <v>864.5</v>
      </c>
      <c r="BB34" s="1">
        <v>999.15</v>
      </c>
      <c r="BC34" s="1">
        <v>152</v>
      </c>
      <c r="BD34" s="1">
        <v>148</v>
      </c>
      <c r="BE34" s="1">
        <v>0.61081271451733599</v>
      </c>
      <c r="BF34" s="1">
        <v>0.76315427919252699</v>
      </c>
      <c r="BG34" s="1">
        <v>0.97538319842101595</v>
      </c>
      <c r="BH34" s="1">
        <v>1</v>
      </c>
      <c r="BI34" s="1">
        <v>0.47480010068426298</v>
      </c>
      <c r="BJ34" s="1">
        <v>0.97538319842101595</v>
      </c>
      <c r="BK34" s="1">
        <v>0.89902461821573099</v>
      </c>
      <c r="BL34" s="1">
        <v>1</v>
      </c>
      <c r="BM34" s="1">
        <v>4</v>
      </c>
      <c r="BN34" s="8" t="s">
        <v>140</v>
      </c>
      <c r="BO34" s="8" t="s">
        <v>85</v>
      </c>
      <c r="BP34" s="8" t="s">
        <v>82</v>
      </c>
      <c r="BQ34" s="8" t="s">
        <v>106</v>
      </c>
      <c r="BR34" s="8" t="s">
        <v>86</v>
      </c>
      <c r="BS34" s="7">
        <v>3.3000000000000002E-2</v>
      </c>
      <c r="BT34" s="9" t="s">
        <v>150</v>
      </c>
      <c r="BU34" s="9" t="s">
        <v>88</v>
      </c>
      <c r="BV34" s="7">
        <v>0.98499999999999999</v>
      </c>
      <c r="BW34" s="7">
        <v>1</v>
      </c>
      <c r="BX34" s="7">
        <v>0.99</v>
      </c>
      <c r="BY34" s="7">
        <v>0.81499999999999995</v>
      </c>
      <c r="BZ34" s="7">
        <v>0.99199999999999999</v>
      </c>
      <c r="CA34" s="7">
        <v>0.82499999999999996</v>
      </c>
      <c r="CB34" s="7">
        <v>0.93100000000000005</v>
      </c>
    </row>
    <row r="35" spans="1:80" x14ac:dyDescent="0.2">
      <c r="A35" s="1" t="s">
        <v>139</v>
      </c>
      <c r="B35" s="1" t="s">
        <v>81</v>
      </c>
      <c r="C35" s="1" t="s">
        <v>82</v>
      </c>
      <c r="D35" s="1" t="s">
        <v>117</v>
      </c>
      <c r="E35" s="1" t="s">
        <v>93</v>
      </c>
      <c r="F35" s="1" t="s">
        <v>93</v>
      </c>
      <c r="G35" s="1">
        <v>2.8790109403605699E-2</v>
      </c>
      <c r="H35" s="1">
        <v>0.66020700097366802</v>
      </c>
      <c r="I35" s="1">
        <v>0.45848929355743201</v>
      </c>
      <c r="J35" s="1">
        <v>0.92792972972973198</v>
      </c>
      <c r="K35" s="1">
        <v>0.62782463983292802</v>
      </c>
      <c r="L35" s="1">
        <v>0.38540055578047899</v>
      </c>
      <c r="M35" s="1">
        <v>0.89830508474576298</v>
      </c>
      <c r="N35" s="1">
        <v>0.99187536208449101</v>
      </c>
      <c r="O35" s="1">
        <v>0.97466955374528796</v>
      </c>
      <c r="P35" s="1">
        <v>1</v>
      </c>
      <c r="Q35" s="1">
        <v>0.69611150809084799</v>
      </c>
      <c r="R35" s="1">
        <v>0.41833196213096102</v>
      </c>
      <c r="S35" s="1">
        <v>1</v>
      </c>
      <c r="T35" s="1">
        <v>0.98899939027497397</v>
      </c>
      <c r="U35" s="1">
        <v>0.97155384625466401</v>
      </c>
      <c r="V35" s="1">
        <v>0.99776822488106598</v>
      </c>
      <c r="W35" s="1">
        <v>2.8790109403605699E-2</v>
      </c>
      <c r="X35" s="1">
        <v>2.04218272860042E-2</v>
      </c>
      <c r="Y35" s="1">
        <v>4.57111026367443E-2</v>
      </c>
      <c r="Z35" s="1">
        <v>0.65158516329866301</v>
      </c>
      <c r="AA35" s="1">
        <v>0.44745680819801598</v>
      </c>
      <c r="AB35" s="1">
        <v>0.92809712256167198</v>
      </c>
      <c r="AC35" s="1">
        <v>0.81673188239819605</v>
      </c>
      <c r="AD35" s="1">
        <v>0.588443838618673</v>
      </c>
      <c r="AE35" s="1">
        <v>0.99365730128269603</v>
      </c>
      <c r="AF35" s="1">
        <v>0.98791524141181497</v>
      </c>
      <c r="AG35" s="1">
        <v>0.93951401435625803</v>
      </c>
      <c r="AH35" s="1">
        <v>0.99847946179887803</v>
      </c>
      <c r="AI35" s="1">
        <v>253</v>
      </c>
      <c r="AJ35" s="1">
        <v>99</v>
      </c>
      <c r="AK35" s="1">
        <v>154</v>
      </c>
      <c r="AL35" s="1">
        <v>96</v>
      </c>
      <c r="AM35" s="1">
        <v>0</v>
      </c>
      <c r="AN35" s="1">
        <v>17</v>
      </c>
      <c r="AO35" s="1">
        <v>1</v>
      </c>
      <c r="AP35" s="1">
        <v>2</v>
      </c>
      <c r="AQ35" s="1">
        <v>1</v>
      </c>
      <c r="AR35" s="1">
        <v>8</v>
      </c>
      <c r="AS35" s="1">
        <v>128</v>
      </c>
      <c r="AT35" s="1">
        <v>99</v>
      </c>
      <c r="AU35" s="1">
        <v>2</v>
      </c>
      <c r="AV35" s="1">
        <v>6</v>
      </c>
      <c r="AW35" s="1">
        <v>146</v>
      </c>
      <c r="AX35" s="1">
        <v>0.93451533583538204</v>
      </c>
      <c r="AY35" s="1">
        <v>0.88766503632433302</v>
      </c>
      <c r="AZ35" s="1">
        <v>0.97554531687985302</v>
      </c>
      <c r="BA35" s="1">
        <v>5088</v>
      </c>
      <c r="BB35" s="1">
        <v>5253.1343873517799</v>
      </c>
      <c r="BC35" s="1">
        <v>114</v>
      </c>
      <c r="BD35" s="1">
        <v>139</v>
      </c>
      <c r="BE35" s="1">
        <v>0.53614316812572005</v>
      </c>
      <c r="BF35" s="1">
        <v>0.71999870150934897</v>
      </c>
      <c r="BG35" s="1">
        <v>0.96056923112627801</v>
      </c>
      <c r="BH35" s="1">
        <v>0.99981787408345502</v>
      </c>
      <c r="BI35" s="1">
        <v>0.38540055578047899</v>
      </c>
      <c r="BJ35" s="1">
        <v>0.96056923112627801</v>
      </c>
      <c r="BK35" s="1">
        <v>0.89830508474576298</v>
      </c>
      <c r="BL35" s="1">
        <v>1</v>
      </c>
      <c r="BM35" s="1">
        <v>4</v>
      </c>
      <c r="BN35" s="8" t="s">
        <v>140</v>
      </c>
      <c r="BO35" s="8" t="s">
        <v>85</v>
      </c>
      <c r="BP35" s="8" t="s">
        <v>82</v>
      </c>
      <c r="BQ35" s="8" t="s">
        <v>106</v>
      </c>
      <c r="BR35" s="8" t="s">
        <v>100</v>
      </c>
      <c r="BS35" s="7">
        <v>2.9000000000000001E-2</v>
      </c>
      <c r="BT35" s="9" t="s">
        <v>155</v>
      </c>
      <c r="BU35" s="9" t="s">
        <v>149</v>
      </c>
      <c r="BV35" s="7">
        <v>0.98799999999999999</v>
      </c>
      <c r="BW35" s="7">
        <v>0.69599999999999995</v>
      </c>
      <c r="BX35" s="7">
        <v>0.98899999999999999</v>
      </c>
      <c r="BY35" s="7">
        <v>0.66</v>
      </c>
      <c r="BZ35" s="7">
        <v>0.81699999999999995</v>
      </c>
      <c r="CA35" s="7">
        <v>0.65200000000000002</v>
      </c>
      <c r="CB35" s="7">
        <v>0.93500000000000005</v>
      </c>
    </row>
    <row r="36" spans="1:80" x14ac:dyDescent="0.2">
      <c r="A36" s="1" t="s">
        <v>139</v>
      </c>
      <c r="B36" s="1" t="s">
        <v>81</v>
      </c>
      <c r="C36" s="1" t="s">
        <v>206</v>
      </c>
      <c r="D36" s="1" t="s">
        <v>108</v>
      </c>
      <c r="E36" s="1">
        <v>1414</v>
      </c>
      <c r="F36" s="1">
        <v>65453</v>
      </c>
      <c r="G36" s="1">
        <v>2.1603287855407698E-2</v>
      </c>
      <c r="H36" s="1">
        <v>0.83534928694620603</v>
      </c>
      <c r="I36" s="1">
        <v>0.77035189667059001</v>
      </c>
      <c r="J36" s="1">
        <v>0.89143006727983598</v>
      </c>
      <c r="K36" s="1">
        <v>0.75268817204301097</v>
      </c>
      <c r="L36" s="1">
        <v>0.66336112558624305</v>
      </c>
      <c r="M36" s="1">
        <v>0.83695652173913004</v>
      </c>
      <c r="N36" s="1">
        <v>0.99890914688147603</v>
      </c>
      <c r="O36" s="1">
        <v>0.997878896713982</v>
      </c>
      <c r="P36" s="1">
        <v>1</v>
      </c>
      <c r="Q36" s="1">
        <v>0.93840617495804801</v>
      </c>
      <c r="R36" s="1">
        <v>0.88375674189935105</v>
      </c>
      <c r="S36" s="1">
        <v>1</v>
      </c>
      <c r="T36" s="1">
        <v>0.994563040704042</v>
      </c>
      <c r="U36" s="1">
        <v>0.99261555224323805</v>
      </c>
      <c r="V36" s="1">
        <v>0.99640896254451405</v>
      </c>
      <c r="W36" s="1">
        <v>2.1603287855407698E-2</v>
      </c>
      <c r="X36" s="1">
        <v>2.1603287855407698E-2</v>
      </c>
      <c r="Y36" s="1">
        <v>2.1603287855407698E-2</v>
      </c>
      <c r="Z36" s="1">
        <v>0.837387103513488</v>
      </c>
      <c r="AA36" s="1">
        <v>0.77594145084313404</v>
      </c>
      <c r="AB36" s="1">
        <v>0.89236629832793801</v>
      </c>
      <c r="AC36" s="1">
        <v>0.96504383005310101</v>
      </c>
      <c r="AD36" s="1">
        <v>0.93509287683174103</v>
      </c>
      <c r="AE36" s="1">
        <v>0.99633344396962997</v>
      </c>
      <c r="AF36" s="1">
        <v>0.993237943072519</v>
      </c>
      <c r="AG36" s="1">
        <v>0.98964877628064296</v>
      </c>
      <c r="AH36" s="1">
        <v>0.99596272298585797</v>
      </c>
      <c r="AI36" s="1">
        <v>200</v>
      </c>
      <c r="AJ36" s="1">
        <v>73</v>
      </c>
      <c r="AK36" s="1">
        <v>127</v>
      </c>
      <c r="AL36" s="1">
        <v>70</v>
      </c>
      <c r="AM36" s="1">
        <v>0</v>
      </c>
      <c r="AN36" s="1">
        <v>23</v>
      </c>
      <c r="AO36" s="1">
        <v>0</v>
      </c>
      <c r="AP36" s="1">
        <v>3</v>
      </c>
      <c r="AQ36" s="1">
        <v>0</v>
      </c>
      <c r="AR36" s="1">
        <v>4</v>
      </c>
      <c r="AS36" s="1">
        <v>100</v>
      </c>
      <c r="AT36" s="1">
        <v>68</v>
      </c>
      <c r="AU36" s="1">
        <v>17</v>
      </c>
      <c r="AV36" s="1">
        <v>4</v>
      </c>
      <c r="AW36" s="1">
        <v>111</v>
      </c>
      <c r="AX36" s="1">
        <v>0.78079331941544905</v>
      </c>
      <c r="AY36" s="1">
        <v>0.68879668049792497</v>
      </c>
      <c r="AZ36" s="1">
        <v>0.865145228215768</v>
      </c>
      <c r="BA36" s="1">
        <v>856</v>
      </c>
      <c r="BB36" s="1">
        <v>1004.34</v>
      </c>
      <c r="BC36" s="1">
        <v>93</v>
      </c>
      <c r="BD36" s="1">
        <v>107</v>
      </c>
      <c r="BE36" s="1">
        <v>0.65237137159110703</v>
      </c>
      <c r="BF36" s="1">
        <v>0.83631510338734305</v>
      </c>
      <c r="BG36" s="1">
        <v>0.966112000525989</v>
      </c>
      <c r="BH36" s="1">
        <v>1</v>
      </c>
      <c r="BI36" s="1">
        <v>0.65237137159110703</v>
      </c>
      <c r="BJ36" s="1">
        <v>0.966112000525989</v>
      </c>
      <c r="BK36" s="1">
        <v>0.83695652173913004</v>
      </c>
      <c r="BL36" s="1">
        <v>1</v>
      </c>
      <c r="BM36" s="1">
        <v>4</v>
      </c>
      <c r="BN36" s="8" t="s">
        <v>140</v>
      </c>
      <c r="BO36" s="8" t="s">
        <v>85</v>
      </c>
      <c r="BP36" s="8" t="s">
        <v>206</v>
      </c>
      <c r="BQ36" s="8" t="s">
        <v>108</v>
      </c>
      <c r="BR36" s="8" t="s">
        <v>86</v>
      </c>
      <c r="BS36" s="7">
        <v>2.1999999999999999E-2</v>
      </c>
      <c r="BT36" s="9" t="s">
        <v>225</v>
      </c>
      <c r="BU36" s="9" t="s">
        <v>222</v>
      </c>
      <c r="BV36" s="7">
        <v>0.99299999999999999</v>
      </c>
      <c r="BW36" s="7">
        <v>0.93799999999999994</v>
      </c>
      <c r="BX36" s="7">
        <v>0.995</v>
      </c>
      <c r="BY36" s="7">
        <v>0.83499999999999996</v>
      </c>
      <c r="BZ36" s="7">
        <v>0.96499999999999997</v>
      </c>
      <c r="CA36" s="7">
        <v>0.83699999999999997</v>
      </c>
      <c r="CB36" s="7">
        <v>0.78100000000000003</v>
      </c>
    </row>
    <row r="37" spans="1:80" x14ac:dyDescent="0.2">
      <c r="A37" s="1" t="s">
        <v>139</v>
      </c>
      <c r="B37" s="1" t="s">
        <v>81</v>
      </c>
      <c r="C37" s="1" t="s">
        <v>206</v>
      </c>
      <c r="D37" s="1" t="s">
        <v>106</v>
      </c>
      <c r="E37" s="1">
        <v>2187</v>
      </c>
      <c r="F37" s="1">
        <v>65453</v>
      </c>
      <c r="G37" s="1">
        <v>3.3413288924877403E-2</v>
      </c>
      <c r="H37" s="1">
        <v>0.64128577730009095</v>
      </c>
      <c r="I37" s="1">
        <v>0.59318763694689303</v>
      </c>
      <c r="J37" s="1">
        <v>0.88636363636363602</v>
      </c>
      <c r="K37" s="1">
        <v>0.47197988111568401</v>
      </c>
      <c r="L37" s="1">
        <v>0.42165370090035498</v>
      </c>
      <c r="M37" s="1">
        <v>0.79591836734693899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0.98207441760251901</v>
      </c>
      <c r="U37" s="1">
        <v>0.98039939833152601</v>
      </c>
      <c r="V37" s="1">
        <v>0.99299465966922795</v>
      </c>
      <c r="W37" s="1">
        <v>3.3413288924877403E-2</v>
      </c>
      <c r="X37" s="1">
        <v>3.3413288924877403E-2</v>
      </c>
      <c r="Y37" s="1">
        <v>3.3413288924877403E-2</v>
      </c>
      <c r="Z37" s="1">
        <v>0.68082256636130301</v>
      </c>
      <c r="AA37" s="1">
        <v>0.64295336789932001</v>
      </c>
      <c r="AB37" s="1">
        <v>0.88901219806488596</v>
      </c>
      <c r="AC37" s="1">
        <v>0.98103041343309905</v>
      </c>
      <c r="AD37" s="1">
        <v>0.976841805237185</v>
      </c>
      <c r="AE37" s="1">
        <v>0.99558771727012296</v>
      </c>
      <c r="AF37" s="1">
        <v>0.96276711922126401</v>
      </c>
      <c r="AG37" s="1">
        <v>0.95473193713086102</v>
      </c>
      <c r="AH37" s="1">
        <v>0.99121419997396798</v>
      </c>
      <c r="AI37" s="1">
        <v>200</v>
      </c>
      <c r="AJ37" s="1">
        <v>73</v>
      </c>
      <c r="AK37" s="1">
        <v>127</v>
      </c>
      <c r="AL37" s="1">
        <v>73</v>
      </c>
      <c r="AM37" s="1">
        <v>0</v>
      </c>
      <c r="AN37" s="1">
        <v>27</v>
      </c>
      <c r="AO37" s="1">
        <v>1</v>
      </c>
      <c r="AP37" s="1">
        <v>0</v>
      </c>
      <c r="AQ37" s="1">
        <v>0</v>
      </c>
      <c r="AR37" s="1">
        <v>0</v>
      </c>
      <c r="AS37" s="1">
        <v>99</v>
      </c>
      <c r="AT37" s="1">
        <v>68</v>
      </c>
      <c r="AU37" s="1">
        <v>17</v>
      </c>
      <c r="AV37" s="1">
        <v>4</v>
      </c>
      <c r="AW37" s="1">
        <v>111</v>
      </c>
      <c r="AX37" s="1">
        <v>0.78079331941544905</v>
      </c>
      <c r="AY37" s="1">
        <v>0.68801347254991296</v>
      </c>
      <c r="AZ37" s="1">
        <v>0.86535122254768004</v>
      </c>
      <c r="BA37" s="1">
        <v>856</v>
      </c>
      <c r="BB37" s="1">
        <v>1004.34</v>
      </c>
      <c r="BC37" s="1">
        <v>101</v>
      </c>
      <c r="BD37" s="1">
        <v>99</v>
      </c>
      <c r="BE37" s="1">
        <v>0.37494577248757099</v>
      </c>
      <c r="BF37" s="1">
        <v>0.57703879490836496</v>
      </c>
      <c r="BG37" s="1">
        <v>0.96342425501652096</v>
      </c>
      <c r="BH37" s="1">
        <v>1</v>
      </c>
      <c r="BI37" s="1">
        <v>0.37494577248757099</v>
      </c>
      <c r="BJ37" s="1">
        <v>0.96342425501652096</v>
      </c>
      <c r="BK37" s="1">
        <v>0.79591836734693899</v>
      </c>
      <c r="BL37" s="1">
        <v>1</v>
      </c>
      <c r="BM37" s="1">
        <v>4</v>
      </c>
      <c r="BN37" s="8" t="s">
        <v>140</v>
      </c>
      <c r="BO37" s="8" t="s">
        <v>85</v>
      </c>
      <c r="BP37" s="8" t="s">
        <v>206</v>
      </c>
      <c r="BQ37" s="8" t="s">
        <v>106</v>
      </c>
      <c r="BR37" s="8" t="s">
        <v>86</v>
      </c>
      <c r="BS37" s="7">
        <v>3.3000000000000002E-2</v>
      </c>
      <c r="BT37" s="9" t="s">
        <v>224</v>
      </c>
      <c r="BU37" s="9" t="s">
        <v>213</v>
      </c>
      <c r="BV37" s="7">
        <v>0.96299999999999997</v>
      </c>
      <c r="BW37" s="7">
        <v>1</v>
      </c>
      <c r="BX37" s="7">
        <v>0.98199999999999998</v>
      </c>
      <c r="BY37" s="7">
        <v>0.64100000000000001</v>
      </c>
      <c r="BZ37" s="7">
        <v>0.98099999999999998</v>
      </c>
      <c r="CA37" s="7">
        <v>0.68100000000000005</v>
      </c>
      <c r="CB37" s="7">
        <v>0.78100000000000003</v>
      </c>
    </row>
    <row r="38" spans="1:80" hidden="1" x14ac:dyDescent="0.2"/>
    <row r="39" spans="1:80" hidden="1" x14ac:dyDescent="0.2"/>
    <row r="40" spans="1:80" hidden="1" x14ac:dyDescent="0.2"/>
    <row r="41" spans="1:80" hidden="1" x14ac:dyDescent="0.2"/>
  </sheetData>
  <sortState xmlns:xlrd2="http://schemas.microsoft.com/office/spreadsheetml/2017/richdata2" ref="A2:CB37">
    <sortCondition ref="BM2:BM37"/>
    <sortCondition ref="B2:B37"/>
    <sortCondition descending="1" ref="C2:C37"/>
    <sortCondition ref="BQ2:BQ37"/>
    <sortCondition descending="1" ref="BR2:BR37"/>
  </sortState>
  <conditionalFormatting sqref="BR2:BR37">
    <cfRule type="containsText" dxfId="1" priority="2" operator="containsText" text="Full">
      <formula>NOT(ISERROR(SEARCH("Full",BR2)))</formula>
    </cfRule>
  </conditionalFormatting>
  <conditionalFormatting sqref="BV2:CB37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3A11-758B-4E4A-B834-99149B48C28F}">
  <dimension ref="A1:D5"/>
  <sheetViews>
    <sheetView workbookViewId="0">
      <selection activeCell="F4" sqref="F4"/>
    </sheetView>
  </sheetViews>
  <sheetFormatPr baseColWidth="10" defaultRowHeight="16" x14ac:dyDescent="0.2"/>
  <cols>
    <col min="1" max="1" width="21" customWidth="1"/>
    <col min="2" max="2" width="12.83203125" customWidth="1"/>
    <col min="3" max="3" width="18" customWidth="1"/>
    <col min="4" max="4" width="16" customWidth="1"/>
  </cols>
  <sheetData>
    <row r="1" spans="1:4" ht="91" thickBot="1" x14ac:dyDescent="0.25">
      <c r="A1" s="28" t="s">
        <v>298</v>
      </c>
      <c r="B1" s="29" t="s">
        <v>299</v>
      </c>
      <c r="C1" s="29" t="s">
        <v>300</v>
      </c>
      <c r="D1" s="30" t="s">
        <v>301</v>
      </c>
    </row>
    <row r="2" spans="1:4" ht="17" thickBot="1" x14ac:dyDescent="0.25">
      <c r="A2" s="31" t="s">
        <v>80</v>
      </c>
      <c r="B2" s="32">
        <v>227</v>
      </c>
      <c r="C2" s="32">
        <v>15</v>
      </c>
      <c r="D2" s="33">
        <v>1</v>
      </c>
    </row>
    <row r="3" spans="1:4" ht="17" thickBot="1" x14ac:dyDescent="0.25">
      <c r="A3" s="31" t="s">
        <v>302</v>
      </c>
      <c r="B3" s="32">
        <v>237</v>
      </c>
      <c r="C3" s="32">
        <v>26</v>
      </c>
      <c r="D3" s="33">
        <v>1</v>
      </c>
    </row>
    <row r="4" spans="1:4" ht="17" thickBot="1" x14ac:dyDescent="0.25">
      <c r="A4" s="31" t="s">
        <v>166</v>
      </c>
      <c r="B4" s="32">
        <v>239</v>
      </c>
      <c r="C4" s="34">
        <v>4</v>
      </c>
      <c r="D4" s="35">
        <v>0</v>
      </c>
    </row>
    <row r="5" spans="1:4" ht="17" thickBot="1" x14ac:dyDescent="0.25">
      <c r="A5" s="36" t="s">
        <v>303</v>
      </c>
      <c r="B5" s="37">
        <v>253</v>
      </c>
      <c r="C5" s="38">
        <v>23</v>
      </c>
      <c r="D5" s="3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A4D2-37EF-6B49-8FFF-1620664B3E95}">
  <dimension ref="A1:J34"/>
  <sheetViews>
    <sheetView zoomScale="123" zoomScaleNormal="123" workbookViewId="0">
      <selection activeCell="BU17" sqref="BU17"/>
    </sheetView>
  </sheetViews>
  <sheetFormatPr baseColWidth="10" defaultRowHeight="16" x14ac:dyDescent="0.2"/>
  <cols>
    <col min="1" max="1" width="21.6640625" customWidth="1"/>
    <col min="2" max="2" width="20.1640625" customWidth="1"/>
    <col min="3" max="3" width="23" customWidth="1"/>
    <col min="4" max="4" width="26.83203125" style="10" customWidth="1"/>
    <col min="5" max="5" width="19.83203125" customWidth="1"/>
    <col min="7" max="7" width="14.33203125" customWidth="1"/>
    <col min="8" max="8" width="12" customWidth="1"/>
    <col min="10" max="10" width="56.5" style="10" customWidth="1"/>
  </cols>
  <sheetData>
    <row r="1" spans="1:10" s="10" customFormat="1" ht="69" thickBot="1" x14ac:dyDescent="0.25">
      <c r="A1" s="22" t="s">
        <v>304</v>
      </c>
      <c r="B1" s="40" t="s">
        <v>305</v>
      </c>
      <c r="C1" s="40" t="s">
        <v>65</v>
      </c>
      <c r="D1" s="40" t="s">
        <v>66</v>
      </c>
      <c r="E1" s="40" t="s">
        <v>294</v>
      </c>
      <c r="F1" s="41" t="s">
        <v>306</v>
      </c>
      <c r="G1" s="41" t="s">
        <v>307</v>
      </c>
      <c r="H1" s="41" t="s">
        <v>308</v>
      </c>
      <c r="I1" s="41" t="s">
        <v>76</v>
      </c>
      <c r="J1" s="40" t="s">
        <v>309</v>
      </c>
    </row>
    <row r="2" spans="1:10" ht="18" thickTop="1" x14ac:dyDescent="0.2">
      <c r="A2" s="42" t="s">
        <v>310</v>
      </c>
      <c r="B2" s="43" t="s">
        <v>311</v>
      </c>
      <c r="C2" s="43" t="s">
        <v>166</v>
      </c>
      <c r="D2" s="44" t="s">
        <v>312</v>
      </c>
      <c r="E2" s="43" t="s">
        <v>86</v>
      </c>
      <c r="F2" s="45">
        <v>200</v>
      </c>
      <c r="G2" s="45">
        <v>103</v>
      </c>
      <c r="H2" s="45">
        <v>97</v>
      </c>
      <c r="I2" s="46">
        <v>0.99299999999999999</v>
      </c>
      <c r="J2" s="47"/>
    </row>
    <row r="3" spans="1:10" ht="17" x14ac:dyDescent="0.2">
      <c r="A3" s="42" t="s">
        <v>310</v>
      </c>
      <c r="B3" s="43" t="s">
        <v>311</v>
      </c>
      <c r="C3" s="43" t="s">
        <v>166</v>
      </c>
      <c r="D3" s="44" t="s">
        <v>313</v>
      </c>
      <c r="E3" s="43" t="s">
        <v>86</v>
      </c>
      <c r="F3" s="45">
        <v>300</v>
      </c>
      <c r="G3" s="45">
        <v>154</v>
      </c>
      <c r="H3" s="45">
        <v>146</v>
      </c>
      <c r="I3" s="7">
        <v>0.99199999999999999</v>
      </c>
      <c r="J3" s="47"/>
    </row>
    <row r="4" spans="1:10" ht="17" x14ac:dyDescent="0.2">
      <c r="A4" s="42" t="s">
        <v>314</v>
      </c>
      <c r="B4" s="43" t="s">
        <v>311</v>
      </c>
      <c r="C4" s="43" t="s">
        <v>166</v>
      </c>
      <c r="D4" s="44" t="s">
        <v>312</v>
      </c>
      <c r="E4" s="43" t="s">
        <v>86</v>
      </c>
      <c r="F4" s="45">
        <v>200</v>
      </c>
      <c r="G4" s="45">
        <v>100</v>
      </c>
      <c r="H4" s="45">
        <v>100</v>
      </c>
      <c r="I4" s="7">
        <v>0.99399999999999999</v>
      </c>
      <c r="J4" s="47"/>
    </row>
    <row r="5" spans="1:10" ht="18" thickBot="1" x14ac:dyDescent="0.25">
      <c r="A5" s="48" t="s">
        <v>314</v>
      </c>
      <c r="B5" s="49" t="s">
        <v>311</v>
      </c>
      <c r="C5" s="49" t="s">
        <v>166</v>
      </c>
      <c r="D5" s="50" t="s">
        <v>313</v>
      </c>
      <c r="E5" s="49" t="s">
        <v>86</v>
      </c>
      <c r="F5" s="51">
        <v>300</v>
      </c>
      <c r="G5" s="51">
        <v>150</v>
      </c>
      <c r="H5" s="51">
        <v>150</v>
      </c>
      <c r="I5" s="52">
        <v>0.99199999999999999</v>
      </c>
      <c r="J5" s="53"/>
    </row>
    <row r="6" spans="1:10" ht="34" x14ac:dyDescent="0.2">
      <c r="A6" s="42" t="s">
        <v>315</v>
      </c>
      <c r="B6" s="43" t="s">
        <v>316</v>
      </c>
      <c r="C6" s="43" t="s">
        <v>317</v>
      </c>
      <c r="D6" s="44" t="s">
        <v>318</v>
      </c>
      <c r="E6" s="43" t="s">
        <v>100</v>
      </c>
      <c r="F6" s="45">
        <v>1000</v>
      </c>
      <c r="G6" s="45"/>
      <c r="H6" s="45"/>
      <c r="I6" s="54">
        <v>0.99</v>
      </c>
      <c r="J6" s="55"/>
    </row>
    <row r="7" spans="1:10" ht="17" x14ac:dyDescent="0.2">
      <c r="A7" s="42" t="s">
        <v>319</v>
      </c>
      <c r="B7" s="43" t="s">
        <v>316</v>
      </c>
      <c r="C7" s="43" t="s">
        <v>320</v>
      </c>
      <c r="D7" s="44" t="s">
        <v>321</v>
      </c>
      <c r="E7" s="43" t="s">
        <v>100</v>
      </c>
      <c r="F7" s="45">
        <v>150</v>
      </c>
      <c r="G7" s="45"/>
      <c r="H7" s="45"/>
      <c r="I7" s="9">
        <v>0.98399999999999999</v>
      </c>
      <c r="J7" s="47" t="s">
        <v>322</v>
      </c>
    </row>
    <row r="8" spans="1:10" ht="34" x14ac:dyDescent="0.2">
      <c r="A8" s="42" t="s">
        <v>323</v>
      </c>
      <c r="B8" s="43" t="s">
        <v>316</v>
      </c>
      <c r="C8" s="43" t="s">
        <v>324</v>
      </c>
      <c r="D8" s="44" t="s">
        <v>325</v>
      </c>
      <c r="E8" s="43" t="s">
        <v>100</v>
      </c>
      <c r="F8" s="45">
        <v>1469</v>
      </c>
      <c r="G8" s="45"/>
      <c r="H8" s="45"/>
      <c r="I8" s="9">
        <v>0.95</v>
      </c>
      <c r="J8" s="47"/>
    </row>
    <row r="9" spans="1:10" ht="34" x14ac:dyDescent="0.2">
      <c r="A9" s="42" t="s">
        <v>326</v>
      </c>
      <c r="B9" s="43" t="s">
        <v>316</v>
      </c>
      <c r="C9" s="43" t="s">
        <v>327</v>
      </c>
      <c r="D9" s="44" t="s">
        <v>328</v>
      </c>
      <c r="E9" s="43" t="s">
        <v>100</v>
      </c>
      <c r="F9" s="45">
        <v>100</v>
      </c>
      <c r="G9" s="45"/>
      <c r="H9" s="45"/>
      <c r="I9" s="9">
        <v>0.98</v>
      </c>
      <c r="J9" s="47" t="s">
        <v>329</v>
      </c>
    </row>
    <row r="10" spans="1:10" ht="17" x14ac:dyDescent="0.2">
      <c r="A10" s="42" t="s">
        <v>330</v>
      </c>
      <c r="B10" s="43" t="s">
        <v>316</v>
      </c>
      <c r="C10" s="43" t="s">
        <v>324</v>
      </c>
      <c r="D10" s="44" t="s">
        <v>331</v>
      </c>
      <c r="E10" s="43" t="s">
        <v>100</v>
      </c>
      <c r="F10" s="45">
        <v>200</v>
      </c>
      <c r="G10" s="45"/>
      <c r="H10" s="45"/>
      <c r="I10" s="9">
        <v>1</v>
      </c>
      <c r="J10" s="47" t="s">
        <v>332</v>
      </c>
    </row>
    <row r="11" spans="1:10" ht="17" x14ac:dyDescent="0.2">
      <c r="A11" s="42" t="s">
        <v>333</v>
      </c>
      <c r="B11" s="43" t="s">
        <v>316</v>
      </c>
      <c r="C11" s="43" t="s">
        <v>334</v>
      </c>
      <c r="D11" s="44" t="s">
        <v>321</v>
      </c>
      <c r="E11" s="43" t="s">
        <v>100</v>
      </c>
      <c r="F11" s="45">
        <v>226</v>
      </c>
      <c r="G11" s="45"/>
      <c r="H11" s="45"/>
      <c r="I11" s="9">
        <v>0.98</v>
      </c>
      <c r="J11" s="47"/>
    </row>
    <row r="12" spans="1:10" ht="46" x14ac:dyDescent="0.2">
      <c r="A12" s="42" t="s">
        <v>335</v>
      </c>
      <c r="B12" s="43" t="s">
        <v>316</v>
      </c>
      <c r="C12" s="43" t="s">
        <v>336</v>
      </c>
      <c r="D12" s="44" t="s">
        <v>337</v>
      </c>
      <c r="E12" s="43" t="s">
        <v>100</v>
      </c>
      <c r="F12" s="45">
        <v>350</v>
      </c>
      <c r="G12" s="45"/>
      <c r="H12" s="45"/>
      <c r="I12" s="9">
        <v>0.98</v>
      </c>
      <c r="J12" s="47" t="s">
        <v>338</v>
      </c>
    </row>
    <row r="13" spans="1:10" ht="17" x14ac:dyDescent="0.2">
      <c r="A13" s="42" t="s">
        <v>339</v>
      </c>
      <c r="B13" s="43" t="s">
        <v>316</v>
      </c>
      <c r="C13" s="43" t="s">
        <v>327</v>
      </c>
      <c r="D13" s="44" t="s">
        <v>321</v>
      </c>
      <c r="E13" s="43" t="s">
        <v>100</v>
      </c>
      <c r="F13" s="45">
        <v>100</v>
      </c>
      <c r="G13" s="45">
        <v>69</v>
      </c>
      <c r="H13" s="45">
        <v>31</v>
      </c>
      <c r="I13" s="9">
        <v>1</v>
      </c>
      <c r="J13" s="47"/>
    </row>
    <row r="14" spans="1:10" ht="34" x14ac:dyDescent="0.2">
      <c r="A14" s="42" t="s">
        <v>340</v>
      </c>
      <c r="B14" s="43" t="s">
        <v>316</v>
      </c>
      <c r="C14" s="43" t="s">
        <v>327</v>
      </c>
      <c r="D14" s="44" t="s">
        <v>341</v>
      </c>
      <c r="E14" s="43" t="s">
        <v>100</v>
      </c>
      <c r="F14" s="45">
        <v>2259</v>
      </c>
      <c r="G14" s="45">
        <v>962</v>
      </c>
      <c r="H14" s="45">
        <v>1297</v>
      </c>
      <c r="I14" s="9">
        <v>0.996</v>
      </c>
      <c r="J14" s="47" t="s">
        <v>342</v>
      </c>
    </row>
    <row r="15" spans="1:10" ht="18" thickBot="1" x14ac:dyDescent="0.25">
      <c r="A15" s="56" t="s">
        <v>343</v>
      </c>
      <c r="B15" s="57" t="s">
        <v>344</v>
      </c>
      <c r="C15" s="57" t="s">
        <v>345</v>
      </c>
      <c r="D15" s="58" t="s">
        <v>321</v>
      </c>
      <c r="E15" s="57" t="s">
        <v>100</v>
      </c>
      <c r="F15" s="59">
        <v>219</v>
      </c>
      <c r="G15" s="59">
        <v>45</v>
      </c>
      <c r="H15" s="59">
        <v>174</v>
      </c>
      <c r="I15" s="60">
        <v>0.95</v>
      </c>
      <c r="J15" s="61"/>
    </row>
    <row r="16" spans="1:10" ht="17" thickBot="1" x14ac:dyDescent="0.25">
      <c r="A16" s="14"/>
      <c r="B16" s="14"/>
      <c r="C16" s="62"/>
      <c r="D16" s="15"/>
      <c r="E16" s="14"/>
      <c r="F16" s="63"/>
      <c r="G16" s="63"/>
      <c r="H16" s="63"/>
      <c r="I16" s="64"/>
      <c r="J16" s="65"/>
    </row>
    <row r="17" spans="1:10" ht="17" x14ac:dyDescent="0.2">
      <c r="A17" s="66" t="s">
        <v>310</v>
      </c>
      <c r="B17" s="67" t="s">
        <v>311</v>
      </c>
      <c r="C17" s="68" t="s">
        <v>302</v>
      </c>
      <c r="D17" s="69" t="s">
        <v>312</v>
      </c>
      <c r="E17" s="67" t="s">
        <v>86</v>
      </c>
      <c r="F17" s="70">
        <v>200</v>
      </c>
      <c r="G17" s="70">
        <v>103</v>
      </c>
      <c r="H17" s="70">
        <v>97</v>
      </c>
      <c r="I17" s="71">
        <v>0.97499999999999998</v>
      </c>
      <c r="J17" s="72"/>
    </row>
    <row r="18" spans="1:10" ht="17" x14ac:dyDescent="0.2">
      <c r="A18" s="42" t="s">
        <v>310</v>
      </c>
      <c r="B18" s="43" t="s">
        <v>311</v>
      </c>
      <c r="C18" s="16" t="s">
        <v>302</v>
      </c>
      <c r="D18" s="44" t="s">
        <v>313</v>
      </c>
      <c r="E18" s="43" t="s">
        <v>86</v>
      </c>
      <c r="F18" s="45">
        <v>300</v>
      </c>
      <c r="G18" s="45">
        <v>159</v>
      </c>
      <c r="H18" s="45">
        <v>141</v>
      </c>
      <c r="I18" s="7">
        <v>0.96499999999999997</v>
      </c>
      <c r="J18" s="47"/>
    </row>
    <row r="19" spans="1:10" ht="17" x14ac:dyDescent="0.2">
      <c r="A19" s="42" t="s">
        <v>314</v>
      </c>
      <c r="B19" s="43" t="s">
        <v>311</v>
      </c>
      <c r="C19" s="16" t="s">
        <v>302</v>
      </c>
      <c r="D19" s="44" t="s">
        <v>312</v>
      </c>
      <c r="E19" s="43" t="s">
        <v>86</v>
      </c>
      <c r="F19" s="45">
        <v>200</v>
      </c>
      <c r="G19" s="45">
        <v>100</v>
      </c>
      <c r="H19" s="45">
        <v>100</v>
      </c>
      <c r="I19" s="7">
        <v>0.97499999999999998</v>
      </c>
      <c r="J19" s="47"/>
    </row>
    <row r="20" spans="1:10" ht="18" thickBot="1" x14ac:dyDescent="0.25">
      <c r="A20" s="56" t="s">
        <v>314</v>
      </c>
      <c r="B20" s="57" t="s">
        <v>311</v>
      </c>
      <c r="C20" s="73" t="s">
        <v>302</v>
      </c>
      <c r="D20" s="58" t="s">
        <v>313</v>
      </c>
      <c r="E20" s="57" t="s">
        <v>86</v>
      </c>
      <c r="F20" s="59">
        <v>300</v>
      </c>
      <c r="G20" s="59">
        <v>150</v>
      </c>
      <c r="H20" s="59">
        <v>150</v>
      </c>
      <c r="I20" s="52">
        <v>0.90200000000000002</v>
      </c>
      <c r="J20" s="61"/>
    </row>
    <row r="21" spans="1:10" ht="45" x14ac:dyDescent="0.2">
      <c r="A21" s="42" t="s">
        <v>315</v>
      </c>
      <c r="B21" s="43" t="s">
        <v>316</v>
      </c>
      <c r="C21" s="43" t="s">
        <v>346</v>
      </c>
      <c r="D21" s="44" t="s">
        <v>318</v>
      </c>
      <c r="E21" s="43" t="s">
        <v>100</v>
      </c>
      <c r="F21" s="45">
        <v>1000</v>
      </c>
      <c r="G21" s="45"/>
      <c r="H21" s="45"/>
      <c r="I21" s="54">
        <v>0.99</v>
      </c>
      <c r="J21" s="55" t="s">
        <v>347</v>
      </c>
    </row>
    <row r="22" spans="1:10" ht="31" x14ac:dyDescent="0.2">
      <c r="A22" s="42" t="s">
        <v>330</v>
      </c>
      <c r="B22" s="43" t="s">
        <v>316</v>
      </c>
      <c r="C22" s="43" t="s">
        <v>348</v>
      </c>
      <c r="D22" s="44" t="s">
        <v>331</v>
      </c>
      <c r="E22" s="43" t="s">
        <v>100</v>
      </c>
      <c r="F22" s="45">
        <v>200</v>
      </c>
      <c r="G22" s="45">
        <v>100</v>
      </c>
      <c r="H22" s="45">
        <v>100</v>
      </c>
      <c r="I22" s="9">
        <v>0.99</v>
      </c>
      <c r="J22" s="47" t="s">
        <v>349</v>
      </c>
    </row>
    <row r="23" spans="1:10" ht="46" x14ac:dyDescent="0.2">
      <c r="A23" s="42" t="s">
        <v>330</v>
      </c>
      <c r="B23" s="43" t="s">
        <v>316</v>
      </c>
      <c r="C23" s="43" t="s">
        <v>350</v>
      </c>
      <c r="D23" s="44" t="s">
        <v>331</v>
      </c>
      <c r="E23" s="43" t="s">
        <v>100</v>
      </c>
      <c r="F23" s="45">
        <v>200</v>
      </c>
      <c r="G23" s="45">
        <v>100</v>
      </c>
      <c r="H23" s="45">
        <v>100</v>
      </c>
      <c r="I23" s="9">
        <v>0.75700000000000001</v>
      </c>
      <c r="J23" s="47" t="s">
        <v>351</v>
      </c>
    </row>
    <row r="24" spans="1:10" ht="31" x14ac:dyDescent="0.2">
      <c r="A24" s="42" t="s">
        <v>333</v>
      </c>
      <c r="B24" s="43" t="s">
        <v>316</v>
      </c>
      <c r="C24" s="43" t="s">
        <v>352</v>
      </c>
      <c r="D24" s="44" t="s">
        <v>321</v>
      </c>
      <c r="E24" s="43" t="s">
        <v>100</v>
      </c>
      <c r="F24" s="45">
        <v>226</v>
      </c>
      <c r="G24" s="74">
        <v>16</v>
      </c>
      <c r="H24" s="45">
        <v>210</v>
      </c>
      <c r="I24" s="9">
        <v>0.94</v>
      </c>
      <c r="J24" s="47" t="s">
        <v>353</v>
      </c>
    </row>
    <row r="25" spans="1:10" ht="77" thickBot="1" x14ac:dyDescent="0.25">
      <c r="A25" s="56" t="s">
        <v>335</v>
      </c>
      <c r="B25" s="57" t="s">
        <v>316</v>
      </c>
      <c r="C25" s="57" t="s">
        <v>346</v>
      </c>
      <c r="D25" s="58" t="s">
        <v>337</v>
      </c>
      <c r="E25" s="57" t="s">
        <v>100</v>
      </c>
      <c r="F25" s="59">
        <v>350</v>
      </c>
      <c r="G25" s="59"/>
      <c r="H25" s="59"/>
      <c r="I25" s="60">
        <v>0.91500000000000004</v>
      </c>
      <c r="J25" s="61" t="s">
        <v>354</v>
      </c>
    </row>
    <row r="26" spans="1:10" ht="17" thickBot="1" x14ac:dyDescent="0.25">
      <c r="A26" s="14"/>
      <c r="B26" s="14"/>
      <c r="C26" s="62"/>
      <c r="D26" s="15"/>
      <c r="E26" s="14"/>
      <c r="F26" s="63"/>
      <c r="G26" s="63"/>
      <c r="H26" s="63"/>
      <c r="I26" s="64"/>
      <c r="J26" s="65"/>
    </row>
    <row r="27" spans="1:10" ht="17" x14ac:dyDescent="0.2">
      <c r="A27" s="66" t="s">
        <v>310</v>
      </c>
      <c r="B27" s="67" t="s">
        <v>311</v>
      </c>
      <c r="C27" s="68" t="s">
        <v>80</v>
      </c>
      <c r="D27" s="69" t="s">
        <v>312</v>
      </c>
      <c r="E27" s="67" t="s">
        <v>86</v>
      </c>
      <c r="F27" s="70">
        <v>200</v>
      </c>
      <c r="G27" s="70">
        <v>102</v>
      </c>
      <c r="H27" s="70">
        <v>98</v>
      </c>
      <c r="I27" s="71">
        <v>0.96399999999999997</v>
      </c>
      <c r="J27" s="72"/>
    </row>
    <row r="28" spans="1:10" ht="17" x14ac:dyDescent="0.2">
      <c r="A28" s="42" t="s">
        <v>310</v>
      </c>
      <c r="B28" s="43" t="s">
        <v>311</v>
      </c>
      <c r="C28" s="16" t="s">
        <v>80</v>
      </c>
      <c r="D28" s="44" t="s">
        <v>313</v>
      </c>
      <c r="E28" s="43" t="s">
        <v>86</v>
      </c>
      <c r="F28" s="45">
        <v>300</v>
      </c>
      <c r="G28" s="45">
        <v>154</v>
      </c>
      <c r="H28" s="45">
        <v>146</v>
      </c>
      <c r="I28" s="7">
        <v>0.95</v>
      </c>
      <c r="J28" s="47"/>
    </row>
    <row r="29" spans="1:10" ht="17" x14ac:dyDescent="0.2">
      <c r="A29" s="42" t="s">
        <v>314</v>
      </c>
      <c r="B29" s="43" t="s">
        <v>311</v>
      </c>
      <c r="C29" s="16" t="s">
        <v>80</v>
      </c>
      <c r="D29" s="44" t="s">
        <v>312</v>
      </c>
      <c r="E29" s="43" t="s">
        <v>86</v>
      </c>
      <c r="F29" s="45">
        <v>200</v>
      </c>
      <c r="G29" s="45">
        <v>100</v>
      </c>
      <c r="H29" s="45">
        <v>100</v>
      </c>
      <c r="I29" s="7">
        <v>0.95899999999999996</v>
      </c>
      <c r="J29" s="47"/>
    </row>
    <row r="30" spans="1:10" ht="18" thickBot="1" x14ac:dyDescent="0.25">
      <c r="A30" s="56" t="s">
        <v>314</v>
      </c>
      <c r="B30" s="57" t="s">
        <v>311</v>
      </c>
      <c r="C30" s="73" t="s">
        <v>80</v>
      </c>
      <c r="D30" s="58" t="s">
        <v>313</v>
      </c>
      <c r="E30" s="57" t="s">
        <v>86</v>
      </c>
      <c r="F30" s="59">
        <v>300</v>
      </c>
      <c r="G30" s="59">
        <v>150</v>
      </c>
      <c r="H30" s="59">
        <v>150</v>
      </c>
      <c r="I30" s="52">
        <v>0.93899999999999995</v>
      </c>
      <c r="J30" s="61"/>
    </row>
    <row r="31" spans="1:10" ht="46" x14ac:dyDescent="0.2">
      <c r="A31" s="42" t="s">
        <v>330</v>
      </c>
      <c r="B31" s="43" t="s">
        <v>316</v>
      </c>
      <c r="C31" s="43" t="s">
        <v>355</v>
      </c>
      <c r="D31" s="44" t="s">
        <v>331</v>
      </c>
      <c r="E31" s="43" t="s">
        <v>100</v>
      </c>
      <c r="F31" s="45">
        <v>200</v>
      </c>
      <c r="G31" s="45">
        <v>100</v>
      </c>
      <c r="H31" s="45">
        <v>100</v>
      </c>
      <c r="I31" s="54">
        <v>0.86699999999999999</v>
      </c>
      <c r="J31" s="47" t="s">
        <v>356</v>
      </c>
    </row>
    <row r="32" spans="1:10" ht="46" x14ac:dyDescent="0.2">
      <c r="A32" s="42" t="s">
        <v>335</v>
      </c>
      <c r="B32" s="43" t="s">
        <v>316</v>
      </c>
      <c r="C32" s="43" t="s">
        <v>357</v>
      </c>
      <c r="D32" s="44" t="s">
        <v>337</v>
      </c>
      <c r="E32" s="43" t="s">
        <v>100</v>
      </c>
      <c r="F32" s="45">
        <v>350</v>
      </c>
      <c r="G32" s="74" t="s">
        <v>358</v>
      </c>
      <c r="H32" s="45">
        <v>340</v>
      </c>
      <c r="I32" s="9">
        <v>0.94699999999999995</v>
      </c>
      <c r="J32" s="47" t="s">
        <v>359</v>
      </c>
    </row>
    <row r="33" spans="1:10" ht="17" x14ac:dyDescent="0.2">
      <c r="A33" s="42" t="s">
        <v>339</v>
      </c>
      <c r="B33" s="43" t="s">
        <v>316</v>
      </c>
      <c r="C33" s="43" t="s">
        <v>355</v>
      </c>
      <c r="D33" s="44" t="s">
        <v>321</v>
      </c>
      <c r="E33" s="43" t="s">
        <v>100</v>
      </c>
      <c r="F33" s="45">
        <v>100</v>
      </c>
      <c r="G33" s="74">
        <v>2</v>
      </c>
      <c r="H33" s="45">
        <v>98</v>
      </c>
      <c r="I33" s="9">
        <v>1</v>
      </c>
      <c r="J33" s="47"/>
    </row>
    <row r="34" spans="1:10" ht="18" thickBot="1" x14ac:dyDescent="0.25">
      <c r="A34" s="56" t="s">
        <v>343</v>
      </c>
      <c r="B34" s="57" t="s">
        <v>344</v>
      </c>
      <c r="C34" s="57" t="s">
        <v>360</v>
      </c>
      <c r="D34" s="58" t="s">
        <v>321</v>
      </c>
      <c r="E34" s="57" t="s">
        <v>100</v>
      </c>
      <c r="F34" s="59">
        <v>219</v>
      </c>
      <c r="G34" s="75">
        <v>17</v>
      </c>
      <c r="H34" s="59">
        <v>202</v>
      </c>
      <c r="I34" s="60">
        <v>0.93700000000000006</v>
      </c>
      <c r="J34" s="61"/>
    </row>
  </sheetData>
  <conditionalFormatting sqref="I27:I34 I17:I25 I2:I15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B57C-9FD2-2742-B62C-20C4D9616BE0}">
  <dimension ref="A1:CB9"/>
  <sheetViews>
    <sheetView topLeftCell="BN1" workbookViewId="0">
      <selection activeCell="BW29" sqref="BW29"/>
    </sheetView>
  </sheetViews>
  <sheetFormatPr baseColWidth="10" defaultRowHeight="16" x14ac:dyDescent="0.2"/>
  <cols>
    <col min="1" max="1" width="22.33203125" hidden="1" customWidth="1"/>
    <col min="2" max="3" width="0" hidden="1" customWidth="1"/>
    <col min="4" max="4" width="23.5" hidden="1" customWidth="1"/>
    <col min="5" max="65" width="0" hidden="1" customWidth="1"/>
    <col min="66" max="66" width="16.5" customWidth="1"/>
    <col min="67" max="68" width="0" hidden="1" customWidth="1"/>
    <col min="69" max="69" width="21" customWidth="1"/>
    <col min="70" max="70" width="0" hidden="1" customWidth="1"/>
    <col min="71" max="71" width="12" customWidth="1"/>
    <col min="72" max="73" width="18.83203125" customWidth="1"/>
    <col min="74" max="74" width="7.33203125" customWidth="1"/>
    <col min="75" max="75" width="12.1640625" customWidth="1"/>
    <col min="77" max="77" width="7.5" customWidth="1"/>
    <col min="78" max="78" width="7.33203125" customWidth="1"/>
    <col min="79" max="79" width="7.6640625" customWidth="1"/>
    <col min="80" max="80" width="0" hidden="1" customWidth="1"/>
  </cols>
  <sheetData>
    <row r="1" spans="1:80" s="76" customFormat="1" ht="51" x14ac:dyDescent="0.2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6" t="s">
        <v>24</v>
      </c>
      <c r="Z1" s="76" t="s">
        <v>25</v>
      </c>
      <c r="AA1" s="76" t="s">
        <v>26</v>
      </c>
      <c r="AB1" s="76" t="s">
        <v>27</v>
      </c>
      <c r="AC1" s="76" t="s">
        <v>28</v>
      </c>
      <c r="AD1" s="76" t="s">
        <v>29</v>
      </c>
      <c r="AE1" s="76" t="s">
        <v>30</v>
      </c>
      <c r="AF1" s="76" t="s">
        <v>31</v>
      </c>
      <c r="AG1" s="76" t="s">
        <v>32</v>
      </c>
      <c r="AH1" s="76" t="s">
        <v>33</v>
      </c>
      <c r="AI1" s="76" t="s">
        <v>34</v>
      </c>
      <c r="AJ1" s="76" t="s">
        <v>35</v>
      </c>
      <c r="AK1" s="76" t="s">
        <v>36</v>
      </c>
      <c r="AL1" s="76" t="s">
        <v>37</v>
      </c>
      <c r="AM1" s="76" t="s">
        <v>38</v>
      </c>
      <c r="AN1" s="76" t="s">
        <v>39</v>
      </c>
      <c r="AO1" s="76" t="s">
        <v>40</v>
      </c>
      <c r="AP1" s="76" t="s">
        <v>41</v>
      </c>
      <c r="AQ1" s="76" t="s">
        <v>42</v>
      </c>
      <c r="AR1" s="76" t="s">
        <v>43</v>
      </c>
      <c r="AS1" s="76" t="s">
        <v>44</v>
      </c>
      <c r="AT1" s="76" t="s">
        <v>45</v>
      </c>
      <c r="AU1" s="76" t="s">
        <v>46</v>
      </c>
      <c r="AV1" s="76" t="s">
        <v>47</v>
      </c>
      <c r="AW1" s="76" t="s">
        <v>48</v>
      </c>
      <c r="AX1" s="76" t="s">
        <v>49</v>
      </c>
      <c r="AY1" s="76" t="s">
        <v>50</v>
      </c>
      <c r="AZ1" s="76" t="s">
        <v>51</v>
      </c>
      <c r="BA1" s="76" t="s">
        <v>52</v>
      </c>
      <c r="BB1" s="76" t="s">
        <v>53</v>
      </c>
      <c r="BC1" s="76" t="s">
        <v>54</v>
      </c>
      <c r="BD1" s="76" t="s">
        <v>55</v>
      </c>
      <c r="BE1" s="76" t="s">
        <v>56</v>
      </c>
      <c r="BF1" s="76" t="s">
        <v>57</v>
      </c>
      <c r="BG1" s="76" t="s">
        <v>58</v>
      </c>
      <c r="BH1" s="76" t="s">
        <v>59</v>
      </c>
      <c r="BI1" s="76" t="s">
        <v>60</v>
      </c>
      <c r="BJ1" s="76" t="s">
        <v>61</v>
      </c>
      <c r="BK1" s="76" t="s">
        <v>62</v>
      </c>
      <c r="BL1" s="76" t="s">
        <v>63</v>
      </c>
      <c r="BM1" s="76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77" t="s">
        <v>79</v>
      </c>
    </row>
    <row r="2" spans="1:80" x14ac:dyDescent="0.2">
      <c r="A2" t="s">
        <v>80</v>
      </c>
      <c r="B2" t="s">
        <v>81</v>
      </c>
      <c r="C2" t="s">
        <v>82</v>
      </c>
      <c r="D2" t="s">
        <v>89</v>
      </c>
      <c r="E2">
        <v>152</v>
      </c>
      <c r="F2">
        <v>607</v>
      </c>
      <c r="G2">
        <v>0.25041186161449802</v>
      </c>
      <c r="H2">
        <v>0.95364238410596003</v>
      </c>
      <c r="I2">
        <v>0.93276064547405402</v>
      </c>
      <c r="J2">
        <v>0.97167471430251495</v>
      </c>
      <c r="K2">
        <v>0.94736842105263197</v>
      </c>
      <c r="L2">
        <v>0.90963855421686701</v>
      </c>
      <c r="M2">
        <v>0.97986577181208101</v>
      </c>
      <c r="N2">
        <v>0.98681318681318697</v>
      </c>
      <c r="O2">
        <v>0.984615384615385</v>
      </c>
      <c r="P2">
        <v>0.992307692307692</v>
      </c>
      <c r="Q2">
        <v>0.96</v>
      </c>
      <c r="R2">
        <v>0.952329065649687</v>
      </c>
      <c r="S2">
        <v>0.97627118644067801</v>
      </c>
      <c r="T2">
        <v>0.982494529540481</v>
      </c>
      <c r="U2">
        <v>0.97027171066908202</v>
      </c>
      <c r="V2">
        <v>0.99321535627054403</v>
      </c>
      <c r="W2">
        <v>0.25041186161449802</v>
      </c>
      <c r="X2">
        <v>0.25041186161449802</v>
      </c>
      <c r="Y2">
        <v>0.25041186161449802</v>
      </c>
      <c r="Z2">
        <v>0.93832886293178996</v>
      </c>
      <c r="AA2">
        <v>0.91138802767875204</v>
      </c>
      <c r="AB2">
        <v>0.96225957347604496</v>
      </c>
      <c r="AC2">
        <v>0.97111726507766305</v>
      </c>
      <c r="AD2">
        <v>0.96226803852197296</v>
      </c>
      <c r="AE2">
        <v>0.98089249258671796</v>
      </c>
      <c r="AF2">
        <v>0.98249503354158896</v>
      </c>
      <c r="AG2">
        <v>0.969141015977523</v>
      </c>
      <c r="AH2">
        <v>0.99343296017471505</v>
      </c>
      <c r="AI2">
        <v>307</v>
      </c>
      <c r="AJ2">
        <v>150</v>
      </c>
      <c r="AK2">
        <v>157</v>
      </c>
      <c r="AL2">
        <v>144</v>
      </c>
      <c r="AM2">
        <v>0</v>
      </c>
      <c r="AN2">
        <v>8</v>
      </c>
      <c r="AO2">
        <v>0</v>
      </c>
      <c r="AP2">
        <v>0</v>
      </c>
      <c r="AQ2">
        <v>6</v>
      </c>
      <c r="AR2">
        <v>0</v>
      </c>
      <c r="AS2">
        <v>149</v>
      </c>
      <c r="AT2">
        <v>147</v>
      </c>
      <c r="AU2">
        <v>4</v>
      </c>
      <c r="AV2">
        <v>13</v>
      </c>
      <c r="AW2">
        <v>143</v>
      </c>
      <c r="AX2">
        <v>0.88932714125156398</v>
      </c>
      <c r="AY2">
        <v>0.83696177464103505</v>
      </c>
      <c r="AZ2">
        <v>0.93485825836020997</v>
      </c>
      <c r="BA2">
        <v>966</v>
      </c>
      <c r="BB2">
        <v>1208.1596091205199</v>
      </c>
      <c r="BC2">
        <v>152</v>
      </c>
      <c r="BD2">
        <v>155</v>
      </c>
      <c r="BE2">
        <v>0.89893026289874101</v>
      </c>
      <c r="BF2">
        <v>0.97700651228527002</v>
      </c>
      <c r="BG2">
        <v>0.95416811039961602</v>
      </c>
      <c r="BH2">
        <v>0.99843352174177202</v>
      </c>
      <c r="BI2">
        <v>0.89893026289874101</v>
      </c>
      <c r="BJ2">
        <v>0.95416811039961602</v>
      </c>
      <c r="BK2">
        <v>0.97986577181208101</v>
      </c>
      <c r="BL2">
        <v>0.99843352174177202</v>
      </c>
      <c r="BM2">
        <v>1</v>
      </c>
      <c r="BN2" s="8" t="s">
        <v>84</v>
      </c>
      <c r="BO2" s="8" t="s">
        <v>85</v>
      </c>
      <c r="BP2" s="8" t="s">
        <v>82</v>
      </c>
      <c r="BQ2" s="8" t="s">
        <v>89</v>
      </c>
      <c r="BR2" s="8" t="s">
        <v>86</v>
      </c>
      <c r="BS2" s="7">
        <v>0.25</v>
      </c>
      <c r="BT2" s="9" t="s">
        <v>90</v>
      </c>
      <c r="BU2" s="9" t="s">
        <v>91</v>
      </c>
      <c r="BV2" s="7">
        <v>0.98199999999999998</v>
      </c>
      <c r="BW2" s="7">
        <v>0.96</v>
      </c>
      <c r="BX2" s="7">
        <v>0.98199999999999998</v>
      </c>
      <c r="BY2" s="7">
        <v>0.95399999999999996</v>
      </c>
      <c r="BZ2" s="7">
        <v>0.97099999999999997</v>
      </c>
      <c r="CA2" s="7">
        <v>0.93799999999999994</v>
      </c>
      <c r="CB2" s="1">
        <v>0.88900000000000001</v>
      </c>
    </row>
    <row r="3" spans="1:80" x14ac:dyDescent="0.2">
      <c r="A3" t="s">
        <v>240</v>
      </c>
      <c r="B3" t="s">
        <v>81</v>
      </c>
      <c r="C3" t="s">
        <v>82</v>
      </c>
      <c r="D3" t="s">
        <v>89</v>
      </c>
      <c r="E3">
        <v>151</v>
      </c>
      <c r="F3">
        <v>21372</v>
      </c>
      <c r="G3">
        <v>7.0653191091147299E-3</v>
      </c>
      <c r="H3">
        <v>0.95681063122923304</v>
      </c>
      <c r="I3">
        <v>0.93589652168913995</v>
      </c>
      <c r="J3">
        <v>0.97484304867879401</v>
      </c>
      <c r="K3">
        <v>0.95364238410596003</v>
      </c>
      <c r="L3">
        <v>0.91666666666666696</v>
      </c>
      <c r="M3">
        <v>0.98496521153630301</v>
      </c>
      <c r="N3">
        <v>0.999717261203525</v>
      </c>
      <c r="O3">
        <v>0.99962301493803296</v>
      </c>
      <c r="P3">
        <v>0.99984920597521298</v>
      </c>
      <c r="Q3">
        <v>0.95999999999999497</v>
      </c>
      <c r="R3">
        <v>0.946592851909142</v>
      </c>
      <c r="S3">
        <v>0.97856212127539599</v>
      </c>
      <c r="T3">
        <v>0.999670153614174</v>
      </c>
      <c r="U3">
        <v>0.99940725733783897</v>
      </c>
      <c r="V3">
        <v>0.99989300540853598</v>
      </c>
      <c r="W3">
        <v>7.0653191091147299E-3</v>
      </c>
      <c r="X3">
        <v>7.0653191091147299E-3</v>
      </c>
      <c r="Y3">
        <v>7.0653191091147299E-3</v>
      </c>
      <c r="Z3">
        <v>0.95650969533178498</v>
      </c>
      <c r="AA3">
        <v>0.93553095472561998</v>
      </c>
      <c r="AB3">
        <v>0.974692242729019</v>
      </c>
      <c r="AC3">
        <v>0.97943253974343503</v>
      </c>
      <c r="AD3">
        <v>0.97235697279898203</v>
      </c>
      <c r="AE3">
        <v>0.98903686208221397</v>
      </c>
      <c r="AF3">
        <v>0.99966804921916197</v>
      </c>
      <c r="AG3">
        <v>0.99938038317893396</v>
      </c>
      <c r="AH3">
        <v>0.99989514752255504</v>
      </c>
      <c r="AI3">
        <v>309</v>
      </c>
      <c r="AJ3">
        <v>150</v>
      </c>
      <c r="AK3">
        <v>159</v>
      </c>
      <c r="AL3">
        <v>144</v>
      </c>
      <c r="AM3">
        <v>0</v>
      </c>
      <c r="AN3">
        <v>7</v>
      </c>
      <c r="AO3">
        <v>0</v>
      </c>
      <c r="AP3">
        <v>0</v>
      </c>
      <c r="AQ3">
        <v>6</v>
      </c>
      <c r="AR3">
        <v>0</v>
      </c>
      <c r="AS3">
        <v>152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>
        <v>930</v>
      </c>
      <c r="BB3">
        <v>1162.04207119741</v>
      </c>
      <c r="BC3">
        <v>151</v>
      </c>
      <c r="BD3">
        <v>158</v>
      </c>
      <c r="BE3">
        <v>0.90681976051892499</v>
      </c>
      <c r="BF3">
        <v>0.98116139283659498</v>
      </c>
      <c r="BG3">
        <v>0.97692310201027999</v>
      </c>
      <c r="BH3">
        <v>1</v>
      </c>
      <c r="BI3">
        <v>0.90681976051892499</v>
      </c>
      <c r="BJ3">
        <v>0.97692310201027999</v>
      </c>
      <c r="BK3">
        <v>0.98496521153630301</v>
      </c>
      <c r="BL3">
        <v>1</v>
      </c>
      <c r="BM3">
        <v>1</v>
      </c>
      <c r="BN3" s="8" t="s">
        <v>241</v>
      </c>
      <c r="BO3" s="8" t="s">
        <v>85</v>
      </c>
      <c r="BP3" s="8" t="s">
        <v>82</v>
      </c>
      <c r="BQ3" s="8" t="s">
        <v>89</v>
      </c>
      <c r="BR3" s="8" t="s">
        <v>86</v>
      </c>
      <c r="BS3" s="7">
        <v>7.0000000000000001E-3</v>
      </c>
      <c r="BT3" s="9" t="s">
        <v>361</v>
      </c>
      <c r="BU3" s="9" t="s">
        <v>88</v>
      </c>
      <c r="BV3" s="7">
        <v>1</v>
      </c>
      <c r="BW3" s="7">
        <v>0.96</v>
      </c>
      <c r="BX3" s="7">
        <v>1</v>
      </c>
      <c r="BY3" s="7">
        <v>0.95699999999999996</v>
      </c>
      <c r="BZ3" s="7">
        <v>0.97899999999999998</v>
      </c>
      <c r="CA3" s="7">
        <v>0.95699999999999996</v>
      </c>
      <c r="CB3" s="1" t="s">
        <v>93</v>
      </c>
    </row>
    <row r="4" spans="1:80" x14ac:dyDescent="0.2">
      <c r="A4" t="s">
        <v>80</v>
      </c>
      <c r="B4" t="s">
        <v>81</v>
      </c>
      <c r="C4" t="s">
        <v>82</v>
      </c>
      <c r="D4" t="s">
        <v>83</v>
      </c>
      <c r="E4">
        <v>156</v>
      </c>
      <c r="F4">
        <v>607</v>
      </c>
      <c r="G4">
        <v>0.25700164744645798</v>
      </c>
      <c r="H4">
        <v>0.98039215686274495</v>
      </c>
      <c r="I4">
        <v>0.96296296296296302</v>
      </c>
      <c r="J4">
        <v>0.99371069182389904</v>
      </c>
      <c r="K4">
        <v>0.96153846153846201</v>
      </c>
      <c r="L4">
        <v>0.92857142857142905</v>
      </c>
      <c r="M4">
        <v>0.98750000000000004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0.98687089715536103</v>
      </c>
      <c r="U4">
        <v>0.97588871715610503</v>
      </c>
      <c r="V4">
        <v>0.99569488906060299</v>
      </c>
      <c r="W4">
        <v>0.25700164744645798</v>
      </c>
      <c r="X4">
        <v>0.25700164744645798</v>
      </c>
      <c r="Y4">
        <v>0.25700164744645798</v>
      </c>
      <c r="Z4">
        <v>0.97412233532952497</v>
      </c>
      <c r="AA4">
        <v>0.95193612192015498</v>
      </c>
      <c r="AB4">
        <v>0.99158897883515495</v>
      </c>
      <c r="AC4">
        <v>0.99312956927684304</v>
      </c>
      <c r="AD4">
        <v>0.98687089715536103</v>
      </c>
      <c r="AE4">
        <v>0.997815554373092</v>
      </c>
      <c r="AF4">
        <v>0.98635290000874798</v>
      </c>
      <c r="AG4">
        <v>0.97408207343412501</v>
      </c>
      <c r="AH4">
        <v>0.99564063154953197</v>
      </c>
      <c r="AI4">
        <v>307</v>
      </c>
      <c r="AJ4">
        <v>150</v>
      </c>
      <c r="AK4">
        <v>157</v>
      </c>
      <c r="AL4">
        <v>144</v>
      </c>
      <c r="AM4">
        <v>6</v>
      </c>
      <c r="AN4">
        <v>5</v>
      </c>
      <c r="AO4">
        <v>1</v>
      </c>
      <c r="AP4">
        <v>0</v>
      </c>
      <c r="AQ4">
        <v>0</v>
      </c>
      <c r="AR4">
        <v>3</v>
      </c>
      <c r="AS4">
        <v>148</v>
      </c>
      <c r="AT4">
        <v>147</v>
      </c>
      <c r="AU4">
        <v>4</v>
      </c>
      <c r="AV4">
        <v>13</v>
      </c>
      <c r="AW4">
        <v>143</v>
      </c>
      <c r="AX4">
        <v>0.88932714125156398</v>
      </c>
      <c r="AY4">
        <v>0.83643398378959799</v>
      </c>
      <c r="AZ4">
        <v>0.934877603835221</v>
      </c>
      <c r="BA4">
        <v>966</v>
      </c>
      <c r="BB4">
        <v>1208.1596091205199</v>
      </c>
      <c r="BC4">
        <v>156</v>
      </c>
      <c r="BD4">
        <v>151</v>
      </c>
      <c r="BE4">
        <v>0.918167683421513</v>
      </c>
      <c r="BF4">
        <v>0.98575665479000096</v>
      </c>
      <c r="BG4">
        <v>0.97586632380977401</v>
      </c>
      <c r="BH4">
        <v>1</v>
      </c>
      <c r="BI4">
        <v>0.918167683421513</v>
      </c>
      <c r="BJ4">
        <v>0.97586632380977401</v>
      </c>
      <c r="BK4">
        <v>0.98750000000000004</v>
      </c>
      <c r="BL4">
        <v>1</v>
      </c>
      <c r="BM4">
        <v>1</v>
      </c>
      <c r="BN4" s="8" t="s">
        <v>84</v>
      </c>
      <c r="BO4" s="8" t="s">
        <v>85</v>
      </c>
      <c r="BP4" s="8" t="s">
        <v>82</v>
      </c>
      <c r="BQ4" s="8" t="s">
        <v>83</v>
      </c>
      <c r="BR4" s="8" t="s">
        <v>86</v>
      </c>
      <c r="BS4" s="7">
        <v>0.25700000000000001</v>
      </c>
      <c r="BT4" s="9" t="s">
        <v>87</v>
      </c>
      <c r="BU4" s="9" t="s">
        <v>88</v>
      </c>
      <c r="BV4" s="7">
        <v>0.98599999999999999</v>
      </c>
      <c r="BW4" s="7">
        <v>1</v>
      </c>
      <c r="BX4" s="7">
        <v>0.98699999999999999</v>
      </c>
      <c r="BY4" s="7">
        <v>0.98</v>
      </c>
      <c r="BZ4" s="7">
        <v>0.99299999999999999</v>
      </c>
      <c r="CA4" s="7">
        <v>0.97399999999999998</v>
      </c>
      <c r="CB4" s="1">
        <v>0.88900000000000001</v>
      </c>
    </row>
    <row r="5" spans="1:80" x14ac:dyDescent="0.2">
      <c r="A5" t="s">
        <v>240</v>
      </c>
      <c r="B5" t="s">
        <v>81</v>
      </c>
      <c r="C5" t="s">
        <v>82</v>
      </c>
      <c r="D5" t="s">
        <v>83</v>
      </c>
      <c r="E5">
        <v>157</v>
      </c>
      <c r="F5">
        <v>21372</v>
      </c>
      <c r="G5">
        <v>7.3460602657683003E-3</v>
      </c>
      <c r="H5">
        <v>0.97719869706840401</v>
      </c>
      <c r="I5">
        <v>0.95873015873015899</v>
      </c>
      <c r="J5">
        <v>0.99275492649358799</v>
      </c>
      <c r="K5">
        <v>0.95541401273885396</v>
      </c>
      <c r="L5">
        <v>0.92073170731707299</v>
      </c>
      <c r="M5">
        <v>0.98561408016443997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0.999670153614174</v>
      </c>
      <c r="U5">
        <v>0.99941372492640002</v>
      </c>
      <c r="V5">
        <v>0.99989354942325104</v>
      </c>
      <c r="W5">
        <v>7.3460602657683003E-3</v>
      </c>
      <c r="X5">
        <v>7.3460602657683003E-3</v>
      </c>
      <c r="Y5">
        <v>7.3460602657683003E-3</v>
      </c>
      <c r="Z5">
        <v>0.97729160074144905</v>
      </c>
      <c r="AA5">
        <v>0.95926633698238395</v>
      </c>
      <c r="AB5">
        <v>0.99272814048600799</v>
      </c>
      <c r="AC5">
        <v>0.999827353246725</v>
      </c>
      <c r="AD5">
        <v>0.99968154014115496</v>
      </c>
      <c r="AE5">
        <v>0.99994599500741899</v>
      </c>
      <c r="AF5">
        <v>0.99965476609696302</v>
      </c>
      <c r="AG5">
        <v>0.9993632830511</v>
      </c>
      <c r="AH5">
        <v>0.99989199584760902</v>
      </c>
      <c r="AI5">
        <v>309</v>
      </c>
      <c r="AJ5">
        <v>150</v>
      </c>
      <c r="AK5">
        <v>159</v>
      </c>
      <c r="AL5">
        <v>144</v>
      </c>
      <c r="AM5">
        <v>6</v>
      </c>
      <c r="AN5">
        <v>5</v>
      </c>
      <c r="AO5">
        <v>2</v>
      </c>
      <c r="AP5">
        <v>0</v>
      </c>
      <c r="AQ5">
        <v>0</v>
      </c>
      <c r="AR5">
        <v>2</v>
      </c>
      <c r="AS5">
        <v>150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>
        <v>930</v>
      </c>
      <c r="BB5">
        <v>1162.04207119741</v>
      </c>
      <c r="BC5">
        <v>157</v>
      </c>
      <c r="BD5">
        <v>152</v>
      </c>
      <c r="BE5">
        <v>0.91029545894191499</v>
      </c>
      <c r="BF5">
        <v>0.98188884593097603</v>
      </c>
      <c r="BG5">
        <v>0.97602317909620795</v>
      </c>
      <c r="BH5">
        <v>1</v>
      </c>
      <c r="BI5">
        <v>0.91029545894191499</v>
      </c>
      <c r="BJ5">
        <v>0.97602317909620795</v>
      </c>
      <c r="BK5">
        <v>0.98561408016443997</v>
      </c>
      <c r="BL5">
        <v>1</v>
      </c>
      <c r="BM5">
        <v>1</v>
      </c>
      <c r="BN5" s="8" t="s">
        <v>241</v>
      </c>
      <c r="BO5" s="8" t="s">
        <v>85</v>
      </c>
      <c r="BP5" s="8" t="s">
        <v>82</v>
      </c>
      <c r="BQ5" s="8" t="s">
        <v>83</v>
      </c>
      <c r="BR5" s="8" t="s">
        <v>86</v>
      </c>
      <c r="BS5" s="7">
        <v>7.0000000000000001E-3</v>
      </c>
      <c r="BT5" s="9" t="s">
        <v>242</v>
      </c>
      <c r="BU5" s="9" t="s">
        <v>88</v>
      </c>
      <c r="BV5" s="7">
        <v>1</v>
      </c>
      <c r="BW5" s="7">
        <v>1</v>
      </c>
      <c r="BX5" s="7">
        <v>1</v>
      </c>
      <c r="BY5" s="7">
        <v>0.97699999999999998</v>
      </c>
      <c r="BZ5" s="7">
        <v>1</v>
      </c>
      <c r="CA5" s="7">
        <v>0.97699999999999998</v>
      </c>
      <c r="CB5" s="1" t="s">
        <v>93</v>
      </c>
    </row>
    <row r="6" spans="1:80" x14ac:dyDescent="0.2">
      <c r="A6" t="s">
        <v>80</v>
      </c>
      <c r="B6" t="s">
        <v>81</v>
      </c>
      <c r="C6" t="s">
        <v>82</v>
      </c>
      <c r="D6" t="s">
        <v>106</v>
      </c>
      <c r="E6">
        <v>159</v>
      </c>
      <c r="F6">
        <v>607</v>
      </c>
      <c r="G6">
        <v>0.26194398682042802</v>
      </c>
      <c r="H6">
        <v>0.970873786407767</v>
      </c>
      <c r="I6">
        <v>0.95016611295681097</v>
      </c>
      <c r="J6">
        <v>0.98780487804878003</v>
      </c>
      <c r="K6">
        <v>0.94339622641509402</v>
      </c>
      <c r="L6">
        <v>0.90506329113924</v>
      </c>
      <c r="M6">
        <v>0.97590361445783103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0.98030634573304198</v>
      </c>
      <c r="U6">
        <v>0.96740422856674302</v>
      </c>
      <c r="V6">
        <v>0.99152045224254703</v>
      </c>
      <c r="W6">
        <v>0.26194398682042802</v>
      </c>
      <c r="X6">
        <v>0.26194398682042802</v>
      </c>
      <c r="Y6">
        <v>0.26194398682042802</v>
      </c>
      <c r="Z6">
        <v>0.96167422097887301</v>
      </c>
      <c r="AA6">
        <v>0.93571472948149903</v>
      </c>
      <c r="AB6">
        <v>0.98368104238740195</v>
      </c>
      <c r="AC6">
        <v>0.98946484970294002</v>
      </c>
      <c r="AD6">
        <v>0.98172595833365295</v>
      </c>
      <c r="AE6">
        <v>0.99563750102889104</v>
      </c>
      <c r="AF6">
        <v>0.97914936399003405</v>
      </c>
      <c r="AG6">
        <v>0.96410781200619999</v>
      </c>
      <c r="AH6">
        <v>0.99131289952466795</v>
      </c>
      <c r="AI6">
        <v>307</v>
      </c>
      <c r="AJ6">
        <v>150</v>
      </c>
      <c r="AK6">
        <v>157</v>
      </c>
      <c r="AL6">
        <v>144</v>
      </c>
      <c r="AM6">
        <v>6</v>
      </c>
      <c r="AN6">
        <v>8</v>
      </c>
      <c r="AO6">
        <v>1</v>
      </c>
      <c r="AP6">
        <v>0</v>
      </c>
      <c r="AQ6">
        <v>0</v>
      </c>
      <c r="AR6">
        <v>0</v>
      </c>
      <c r="AS6">
        <v>148</v>
      </c>
      <c r="AT6">
        <v>147</v>
      </c>
      <c r="AU6">
        <v>4</v>
      </c>
      <c r="AV6">
        <v>13</v>
      </c>
      <c r="AW6">
        <v>143</v>
      </c>
      <c r="AX6">
        <v>0.88932714125156398</v>
      </c>
      <c r="AY6">
        <v>0.83668475369720197</v>
      </c>
      <c r="AZ6">
        <v>0.93487207772921999</v>
      </c>
      <c r="BA6">
        <v>966</v>
      </c>
      <c r="BB6">
        <v>1208.1596091205199</v>
      </c>
      <c r="BC6">
        <v>159</v>
      </c>
      <c r="BD6">
        <v>148</v>
      </c>
      <c r="BE6">
        <v>0.89526986890387406</v>
      </c>
      <c r="BF6">
        <v>0.97379351381891399</v>
      </c>
      <c r="BG6">
        <v>0.97538319842101595</v>
      </c>
      <c r="BH6">
        <v>1</v>
      </c>
      <c r="BI6">
        <v>0.89526986890387406</v>
      </c>
      <c r="BJ6">
        <v>0.97538319842101595</v>
      </c>
      <c r="BK6">
        <v>0.97590361445783103</v>
      </c>
      <c r="BL6">
        <v>1</v>
      </c>
      <c r="BM6">
        <v>1</v>
      </c>
      <c r="BN6" s="8" t="s">
        <v>84</v>
      </c>
      <c r="BO6" s="8" t="s">
        <v>85</v>
      </c>
      <c r="BP6" s="8" t="s">
        <v>82</v>
      </c>
      <c r="BQ6" s="8" t="s">
        <v>106</v>
      </c>
      <c r="BR6" s="8" t="s">
        <v>86</v>
      </c>
      <c r="BS6" s="7">
        <v>0.26200000000000001</v>
      </c>
      <c r="BT6" s="9" t="s">
        <v>107</v>
      </c>
      <c r="BU6" s="9" t="s">
        <v>88</v>
      </c>
      <c r="BV6" s="7">
        <v>0.97899999999999998</v>
      </c>
      <c r="BW6" s="7">
        <v>1</v>
      </c>
      <c r="BX6" s="7">
        <v>0.98</v>
      </c>
      <c r="BY6" s="7">
        <v>0.97099999999999997</v>
      </c>
      <c r="BZ6" s="7">
        <v>0.98899999999999999</v>
      </c>
      <c r="CA6" s="7">
        <v>0.96199999999999997</v>
      </c>
      <c r="CB6" s="1">
        <v>0.88900000000000001</v>
      </c>
    </row>
    <row r="7" spans="1:80" x14ac:dyDescent="0.2">
      <c r="A7" t="s">
        <v>240</v>
      </c>
      <c r="B7" t="s">
        <v>81</v>
      </c>
      <c r="C7" t="s">
        <v>82</v>
      </c>
      <c r="D7" t="s">
        <v>106</v>
      </c>
      <c r="E7">
        <v>159</v>
      </c>
      <c r="F7">
        <v>21372</v>
      </c>
      <c r="G7">
        <v>7.4396406513194801E-3</v>
      </c>
      <c r="H7">
        <v>0.970873786407767</v>
      </c>
      <c r="I7">
        <v>0.95031055900621098</v>
      </c>
      <c r="J7">
        <v>0.98765432098765404</v>
      </c>
      <c r="K7">
        <v>0.94339622641509402</v>
      </c>
      <c r="L7">
        <v>0.90532544378698199</v>
      </c>
      <c r="M7">
        <v>0.97560975609756095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0.99957591178965199</v>
      </c>
      <c r="U7">
        <v>0.99929087918437698</v>
      </c>
      <c r="V7">
        <v>0.99981721868921702</v>
      </c>
      <c r="W7">
        <v>7.4396406513194801E-3</v>
      </c>
      <c r="X7">
        <v>7.4396406513194801E-3</v>
      </c>
      <c r="Y7">
        <v>7.4396406513194801E-3</v>
      </c>
      <c r="Z7">
        <v>0.97107988507526299</v>
      </c>
      <c r="AA7">
        <v>0.95114849454219297</v>
      </c>
      <c r="AB7">
        <v>0.98763932326914206</v>
      </c>
      <c r="AC7">
        <v>0.99977518843874702</v>
      </c>
      <c r="AD7">
        <v>0.99960823700182999</v>
      </c>
      <c r="AE7">
        <v>0.99990631623044801</v>
      </c>
      <c r="AF7">
        <v>0.99955047793525198</v>
      </c>
      <c r="AG7">
        <v>0.99921678083994703</v>
      </c>
      <c r="AH7">
        <v>0.99981265001254904</v>
      </c>
      <c r="AI7">
        <v>309</v>
      </c>
      <c r="AJ7">
        <v>150</v>
      </c>
      <c r="AK7">
        <v>159</v>
      </c>
      <c r="AL7">
        <v>144</v>
      </c>
      <c r="AM7">
        <v>6</v>
      </c>
      <c r="AN7">
        <v>7</v>
      </c>
      <c r="AO7">
        <v>2</v>
      </c>
      <c r="AP7">
        <v>0</v>
      </c>
      <c r="AQ7">
        <v>0</v>
      </c>
      <c r="AR7">
        <v>0</v>
      </c>
      <c r="AS7">
        <v>150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>
        <v>930</v>
      </c>
      <c r="BB7">
        <v>1162.04207119741</v>
      </c>
      <c r="BC7">
        <v>159</v>
      </c>
      <c r="BD7">
        <v>150</v>
      </c>
      <c r="BE7">
        <v>0.89526986890387406</v>
      </c>
      <c r="BF7">
        <v>0.97379351381891399</v>
      </c>
      <c r="BG7">
        <v>0.97570740283389101</v>
      </c>
      <c r="BH7">
        <v>1</v>
      </c>
      <c r="BI7">
        <v>0.89526986890387406</v>
      </c>
      <c r="BJ7">
        <v>0.97570740283389101</v>
      </c>
      <c r="BK7">
        <v>0.97560975609756095</v>
      </c>
      <c r="BL7">
        <v>1</v>
      </c>
      <c r="BM7">
        <v>1</v>
      </c>
      <c r="BN7" s="8" t="s">
        <v>241</v>
      </c>
      <c r="BO7" s="8" t="s">
        <v>85</v>
      </c>
      <c r="BP7" s="8" t="s">
        <v>82</v>
      </c>
      <c r="BQ7" s="8" t="s">
        <v>106</v>
      </c>
      <c r="BR7" s="8" t="s">
        <v>86</v>
      </c>
      <c r="BS7" s="7">
        <v>7.0000000000000001E-3</v>
      </c>
      <c r="BT7" s="9" t="s">
        <v>107</v>
      </c>
      <c r="BU7" s="9" t="s">
        <v>88</v>
      </c>
      <c r="BV7" s="7">
        <v>1</v>
      </c>
      <c r="BW7" s="7">
        <v>1</v>
      </c>
      <c r="BX7" s="7">
        <v>1</v>
      </c>
      <c r="BY7" s="7">
        <v>0.97099999999999997</v>
      </c>
      <c r="BZ7" s="7">
        <v>1</v>
      </c>
      <c r="CA7" s="7">
        <v>0.97099999999999997</v>
      </c>
      <c r="CB7" s="1" t="s">
        <v>93</v>
      </c>
    </row>
    <row r="8" spans="1:80" x14ac:dyDescent="0.2">
      <c r="A8" t="s">
        <v>80</v>
      </c>
      <c r="B8" t="s">
        <v>81</v>
      </c>
      <c r="C8" t="s">
        <v>82</v>
      </c>
      <c r="D8" t="s">
        <v>108</v>
      </c>
      <c r="E8">
        <v>149</v>
      </c>
      <c r="F8">
        <v>607</v>
      </c>
      <c r="G8">
        <v>0.24546952224052701</v>
      </c>
      <c r="H8">
        <v>0.96321070234113704</v>
      </c>
      <c r="I8">
        <v>0.94352142231760805</v>
      </c>
      <c r="J8">
        <v>0.98005135941827604</v>
      </c>
      <c r="K8">
        <v>0.96644295302013405</v>
      </c>
      <c r="L8">
        <v>0.93421052631579005</v>
      </c>
      <c r="M8">
        <v>0.99310344827586206</v>
      </c>
      <c r="N8">
        <v>0.98689956331877704</v>
      </c>
      <c r="O8">
        <v>0.980150853513299</v>
      </c>
      <c r="P8">
        <v>0.99417949896575497</v>
      </c>
      <c r="Q8">
        <v>0.96</v>
      </c>
      <c r="R8">
        <v>0.94051947204465103</v>
      </c>
      <c r="S8">
        <v>0.98195455150215505</v>
      </c>
      <c r="T8">
        <v>0.98905908096280104</v>
      </c>
      <c r="U8">
        <v>0.97877280090332996</v>
      </c>
      <c r="V8">
        <v>0.99773837237728702</v>
      </c>
      <c r="W8">
        <v>0.24546952224052701</v>
      </c>
      <c r="X8">
        <v>0.24546952224052701</v>
      </c>
      <c r="Y8">
        <v>0.24546952224052701</v>
      </c>
      <c r="Z8">
        <v>0.95119838750881602</v>
      </c>
      <c r="AA8">
        <v>0.92535321441405005</v>
      </c>
      <c r="AB8">
        <v>0.97358941568394497</v>
      </c>
      <c r="AC8">
        <v>0.97441625445455005</v>
      </c>
      <c r="AD8">
        <v>0.96255511114688996</v>
      </c>
      <c r="AE8">
        <v>0.98646160248068104</v>
      </c>
      <c r="AF8">
        <v>0.98927208582331305</v>
      </c>
      <c r="AG8">
        <v>0.97844345061445404</v>
      </c>
      <c r="AH8">
        <v>0.99784079509413204</v>
      </c>
      <c r="AI8">
        <v>307</v>
      </c>
      <c r="AJ8">
        <v>150</v>
      </c>
      <c r="AK8">
        <v>157</v>
      </c>
      <c r="AL8">
        <v>144</v>
      </c>
      <c r="AM8">
        <v>0</v>
      </c>
      <c r="AN8">
        <v>5</v>
      </c>
      <c r="AO8">
        <v>0</v>
      </c>
      <c r="AP8">
        <v>0</v>
      </c>
      <c r="AQ8">
        <v>6</v>
      </c>
      <c r="AR8">
        <v>3</v>
      </c>
      <c r="AS8">
        <v>149</v>
      </c>
      <c r="AT8">
        <v>147</v>
      </c>
      <c r="AU8">
        <v>4</v>
      </c>
      <c r="AV8">
        <v>13</v>
      </c>
      <c r="AW8">
        <v>143</v>
      </c>
      <c r="AX8">
        <v>0.88932714125156398</v>
      </c>
      <c r="AY8">
        <v>0.83657903992113003</v>
      </c>
      <c r="AZ8">
        <v>0.934877603835221</v>
      </c>
      <c r="BA8">
        <v>966</v>
      </c>
      <c r="BB8">
        <v>1208.1596091205199</v>
      </c>
      <c r="BC8">
        <v>149</v>
      </c>
      <c r="BD8">
        <v>158</v>
      </c>
      <c r="BE8">
        <v>0.923428638625298</v>
      </c>
      <c r="BF8">
        <v>0.989015995029777</v>
      </c>
      <c r="BG8">
        <v>0.95502394524501499</v>
      </c>
      <c r="BH8">
        <v>0.99846333681367405</v>
      </c>
      <c r="BI8">
        <v>0.923428638625298</v>
      </c>
      <c r="BJ8">
        <v>0.95502394524501499</v>
      </c>
      <c r="BK8">
        <v>0.99310344827586206</v>
      </c>
      <c r="BL8">
        <v>0.99846333681367405</v>
      </c>
      <c r="BM8">
        <v>1</v>
      </c>
      <c r="BN8" s="8" t="s">
        <v>84</v>
      </c>
      <c r="BO8" s="8" t="s">
        <v>85</v>
      </c>
      <c r="BP8" s="8" t="s">
        <v>82</v>
      </c>
      <c r="BQ8" s="8" t="s">
        <v>108</v>
      </c>
      <c r="BR8" s="8" t="s">
        <v>86</v>
      </c>
      <c r="BS8" s="7">
        <v>0.245</v>
      </c>
      <c r="BT8" s="9" t="s">
        <v>109</v>
      </c>
      <c r="BU8" s="9" t="s">
        <v>110</v>
      </c>
      <c r="BV8" s="7">
        <v>0.98899999999999999</v>
      </c>
      <c r="BW8" s="7">
        <v>0.96</v>
      </c>
      <c r="BX8" s="7">
        <v>0.98899999999999999</v>
      </c>
      <c r="BY8" s="7">
        <v>0.96299999999999997</v>
      </c>
      <c r="BZ8" s="7">
        <v>0.97399999999999998</v>
      </c>
      <c r="CA8" s="7">
        <v>0.95099999999999996</v>
      </c>
      <c r="CB8" s="1">
        <v>0.88900000000000001</v>
      </c>
    </row>
    <row r="9" spans="1:80" x14ac:dyDescent="0.2">
      <c r="A9" t="s">
        <v>240</v>
      </c>
      <c r="B9" t="s">
        <v>81</v>
      </c>
      <c r="C9" t="s">
        <v>82</v>
      </c>
      <c r="D9" t="s">
        <v>108</v>
      </c>
      <c r="E9">
        <v>149</v>
      </c>
      <c r="F9">
        <v>21372</v>
      </c>
      <c r="G9">
        <v>6.9717387235635397E-3</v>
      </c>
      <c r="H9">
        <v>0.96321070234113704</v>
      </c>
      <c r="I9">
        <v>0.94382519027743095</v>
      </c>
      <c r="J9">
        <v>0.98034676035367097</v>
      </c>
      <c r="K9">
        <v>0.96644295302013405</v>
      </c>
      <c r="L9">
        <v>0.93506493506493504</v>
      </c>
      <c r="M9">
        <v>0.99310344827586206</v>
      </c>
      <c r="N9">
        <v>0.999717287848089</v>
      </c>
      <c r="O9">
        <v>0.999575931772134</v>
      </c>
      <c r="P9">
        <v>0.99986537516575702</v>
      </c>
      <c r="Q9">
        <v>0.95999999999999897</v>
      </c>
      <c r="R9">
        <v>0.94058616894785796</v>
      </c>
      <c r="S9">
        <v>0.98106148400705695</v>
      </c>
      <c r="T9">
        <v>0.999764395438696</v>
      </c>
      <c r="U9">
        <v>0.99954419959725505</v>
      </c>
      <c r="V9">
        <v>0.99995157115540101</v>
      </c>
      <c r="W9">
        <v>6.9717387235635397E-3</v>
      </c>
      <c r="X9">
        <v>6.9717387235635397E-3</v>
      </c>
      <c r="Y9">
        <v>6.9717387235635397E-3</v>
      </c>
      <c r="Z9">
        <v>0.96295700811292395</v>
      </c>
      <c r="AA9">
        <v>0.94354559250727599</v>
      </c>
      <c r="AB9">
        <v>0.98025633123578104</v>
      </c>
      <c r="AC9">
        <v>0.97947956542699699</v>
      </c>
      <c r="AD9">
        <v>0.96926195804635795</v>
      </c>
      <c r="AE9">
        <v>0.99040876008015799</v>
      </c>
      <c r="AF9">
        <v>0.99976603191701496</v>
      </c>
      <c r="AG9">
        <v>0.99953419499800999</v>
      </c>
      <c r="AH9">
        <v>0.99995316696089398</v>
      </c>
      <c r="AI9">
        <v>309</v>
      </c>
      <c r="AJ9">
        <v>150</v>
      </c>
      <c r="AK9">
        <v>159</v>
      </c>
      <c r="AL9">
        <v>144</v>
      </c>
      <c r="AM9">
        <v>0</v>
      </c>
      <c r="AN9">
        <v>5</v>
      </c>
      <c r="AO9">
        <v>0</v>
      </c>
      <c r="AP9">
        <v>0</v>
      </c>
      <c r="AQ9">
        <v>6</v>
      </c>
      <c r="AR9">
        <v>2</v>
      </c>
      <c r="AS9">
        <v>152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>
        <v>930</v>
      </c>
      <c r="BB9">
        <v>1162.04207119741</v>
      </c>
      <c r="BC9">
        <v>149</v>
      </c>
      <c r="BD9">
        <v>160</v>
      </c>
      <c r="BE9">
        <v>0.923428638625298</v>
      </c>
      <c r="BF9">
        <v>0.989015995029777</v>
      </c>
      <c r="BG9">
        <v>0.97720825054453397</v>
      </c>
      <c r="BH9">
        <v>1</v>
      </c>
      <c r="BI9">
        <v>0.923428638625298</v>
      </c>
      <c r="BJ9">
        <v>0.97720825054453397</v>
      </c>
      <c r="BK9">
        <v>0.99310344827586206</v>
      </c>
      <c r="BL9">
        <v>1</v>
      </c>
      <c r="BM9">
        <v>1</v>
      </c>
      <c r="BN9" s="8" t="s">
        <v>241</v>
      </c>
      <c r="BO9" s="8" t="s">
        <v>85</v>
      </c>
      <c r="BP9" s="8" t="s">
        <v>82</v>
      </c>
      <c r="BQ9" s="8" t="s">
        <v>108</v>
      </c>
      <c r="BR9" s="8" t="s">
        <v>86</v>
      </c>
      <c r="BS9" s="7">
        <v>7.0000000000000001E-3</v>
      </c>
      <c r="BT9" s="9" t="s">
        <v>109</v>
      </c>
      <c r="BU9" s="9" t="s">
        <v>88</v>
      </c>
      <c r="BV9" s="7">
        <v>1</v>
      </c>
      <c r="BW9" s="7">
        <v>0.96</v>
      </c>
      <c r="BX9" s="7">
        <v>1</v>
      </c>
      <c r="BY9" s="7">
        <v>0.96299999999999997</v>
      </c>
      <c r="BZ9" s="7">
        <v>0.97899999999999998</v>
      </c>
      <c r="CA9" s="7">
        <v>0.96299999999999997</v>
      </c>
      <c r="CB9" s="1" t="s">
        <v>93</v>
      </c>
    </row>
  </sheetData>
  <conditionalFormatting sqref="BN2:BN9">
    <cfRule type="containsText" dxfId="0" priority="2" operator="containsText" text="unfiltered">
      <formula>NOT(ISERROR(SEARCH("unfiltered",BN2)))</formula>
    </cfRule>
  </conditionalFormatting>
  <conditionalFormatting sqref="BV2:CA9">
    <cfRule type="colorScale" priority="1">
      <colorScale>
        <cfvo type="num" val="0.5"/>
        <cfvo type="num" val="0.9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all_results_bootstrapped10k</vt:lpstr>
      <vt:lpstr>table1_gemma_ibd</vt:lpstr>
      <vt:lpstr>table2_nonIBD_gemma</vt:lpstr>
      <vt:lpstr>table3_full_ibd_mvp_gemma</vt:lpstr>
      <vt:lpstr>S1_regexMatch</vt:lpstr>
      <vt:lpstr>S2_running_time</vt:lpstr>
      <vt:lpstr>S3_llama3</vt:lpstr>
      <vt:lpstr>S4_small_IBD_MVP</vt:lpstr>
      <vt:lpstr>S5_both_either</vt:lpstr>
      <vt:lpstr>S6_fullPath_validation</vt:lpstr>
      <vt:lpstr>S7_otherMethods</vt:lpstr>
      <vt:lpstr>S8_unfiltered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Brian</dc:creator>
  <cp:lastModifiedBy>Johnson, Brian</cp:lastModifiedBy>
  <dcterms:created xsi:type="dcterms:W3CDTF">2025-06-25T16:10:43Z</dcterms:created>
  <dcterms:modified xsi:type="dcterms:W3CDTF">2025-06-26T16:23:39Z</dcterms:modified>
</cp:coreProperties>
</file>